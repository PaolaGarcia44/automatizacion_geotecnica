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cnologicodeantioquia-my.sharepoint.com/personal/paola_garcia44_correo_tdea_edu_co/Documents/Escritorio/Automatización geotecnica/automatizacion_geotecnica/backend/templates/excel/"/>
    </mc:Choice>
  </mc:AlternateContent>
  <xr:revisionPtr revIDLastSave="1" documentId="8_{91CFB531-908F-46FD-B5E4-2E392237C245}" xr6:coauthVersionLast="47" xr6:coauthVersionMax="47" xr10:uidLastSave="{16CF5EF1-A11A-45F5-B677-227377410085}"/>
  <bookViews>
    <workbookView minimized="1" xWindow="6150" yWindow="4050" windowWidth="15375" windowHeight="7785" xr2:uid="{00000000-000D-0000-FFFF-FFFF00000000}"/>
  </bookViews>
  <sheets>
    <sheet name="P3" sheetId="50" r:id="rId1"/>
  </sheets>
  <definedNames>
    <definedName name="_xlnm.Print_Area" localSheetId="0">'P3'!$A$2:$Q$25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6" i="50" l="1"/>
  <c r="P27" i="50"/>
  <c r="P28" i="50"/>
  <c r="P29" i="50"/>
  <c r="P30" i="50"/>
  <c r="P31" i="50"/>
  <c r="P32" i="50"/>
  <c r="P33" i="50"/>
  <c r="P34" i="50"/>
  <c r="P35" i="50"/>
  <c r="N26" i="50"/>
  <c r="N27" i="50"/>
  <c r="N28" i="50"/>
  <c r="N29" i="50"/>
  <c r="N30" i="50"/>
  <c r="N31" i="50"/>
  <c r="N32" i="50"/>
  <c r="N33" i="50"/>
  <c r="N34" i="50"/>
  <c r="N35" i="50"/>
  <c r="M26" i="50"/>
  <c r="M27" i="50"/>
  <c r="M28" i="50"/>
  <c r="M29" i="50"/>
  <c r="M30" i="50"/>
  <c r="M31" i="50"/>
  <c r="M32" i="50"/>
  <c r="M33" i="50"/>
  <c r="M34" i="50"/>
  <c r="M35" i="50"/>
  <c r="L26" i="50"/>
  <c r="L27" i="50"/>
  <c r="L28" i="50"/>
  <c r="L29" i="50"/>
  <c r="L30" i="50"/>
  <c r="L31" i="50"/>
  <c r="L32" i="50"/>
  <c r="L33" i="50"/>
  <c r="L34" i="50"/>
  <c r="L35" i="50"/>
  <c r="K26" i="50"/>
  <c r="K27" i="50"/>
  <c r="K28" i="50"/>
  <c r="K29" i="50"/>
  <c r="K30" i="50"/>
  <c r="K31" i="50"/>
  <c r="K32" i="50"/>
  <c r="K33" i="50"/>
  <c r="K34" i="50"/>
  <c r="K35" i="50"/>
  <c r="K25" i="50"/>
  <c r="L25" i="50" s="1"/>
  <c r="J25" i="50"/>
  <c r="J26" i="50"/>
  <c r="J27" i="50"/>
  <c r="G27" i="50" s="1"/>
  <c r="J28" i="50"/>
  <c r="G28" i="50" s="1"/>
  <c r="J29" i="50"/>
  <c r="J30" i="50"/>
  <c r="G30" i="50" s="1"/>
  <c r="J31" i="50"/>
  <c r="J32" i="50"/>
  <c r="J33" i="50"/>
  <c r="J34" i="50"/>
  <c r="J35" i="50"/>
  <c r="G35" i="50" s="1"/>
  <c r="I25" i="50"/>
  <c r="I26" i="50"/>
  <c r="I27" i="50"/>
  <c r="I28" i="50"/>
  <c r="I29" i="50"/>
  <c r="I30" i="50"/>
  <c r="I31" i="50"/>
  <c r="I32" i="50"/>
  <c r="I33" i="50"/>
  <c r="I34" i="50"/>
  <c r="I35" i="50"/>
  <c r="H25" i="50"/>
  <c r="H26" i="50"/>
  <c r="H27" i="50"/>
  <c r="H28" i="50"/>
  <c r="H29" i="50"/>
  <c r="H30" i="50"/>
  <c r="H31" i="50"/>
  <c r="H32" i="50"/>
  <c r="H33" i="50"/>
  <c r="H34" i="50"/>
  <c r="H35" i="50"/>
  <c r="G26" i="50"/>
  <c r="G29" i="50"/>
  <c r="G31" i="50"/>
  <c r="G32" i="50"/>
  <c r="G33" i="50"/>
  <c r="G34" i="50"/>
  <c r="E25" i="50"/>
  <c r="E26" i="50"/>
  <c r="E27" i="50"/>
  <c r="E28" i="50"/>
  <c r="E29" i="50"/>
  <c r="E30" i="50"/>
  <c r="E31" i="50"/>
  <c r="E32" i="50"/>
  <c r="E33" i="50"/>
  <c r="E34" i="50"/>
  <c r="E35" i="50"/>
  <c r="D25" i="50"/>
  <c r="D26" i="50"/>
  <c r="D27" i="50"/>
  <c r="D28" i="50"/>
  <c r="D29" i="50"/>
  <c r="D30" i="50"/>
  <c r="D31" i="50"/>
  <c r="D32" i="50"/>
  <c r="D33" i="50"/>
  <c r="D34" i="50"/>
  <c r="D35" i="50"/>
  <c r="C24" i="50"/>
  <c r="C25" i="50" s="1"/>
  <c r="C26" i="50" s="1"/>
  <c r="C27" i="50" s="1"/>
  <c r="C28" i="50" s="1"/>
  <c r="C29" i="50" s="1"/>
  <c r="C30" i="50" s="1"/>
  <c r="C31" i="50" s="1"/>
  <c r="C32" i="50" s="1"/>
  <c r="C33" i="50" s="1"/>
  <c r="C34" i="50" s="1"/>
  <c r="C35" i="50" s="1"/>
  <c r="D17" i="50"/>
  <c r="D18" i="50"/>
  <c r="D19" i="50"/>
  <c r="D20" i="50"/>
  <c r="D21" i="50"/>
  <c r="D22" i="50"/>
  <c r="D23" i="50"/>
  <c r="D24" i="50"/>
  <c r="D16" i="50" l="1"/>
  <c r="D15" i="50"/>
  <c r="D14" i="50"/>
  <c r="D13" i="50"/>
  <c r="D12" i="50"/>
  <c r="D11" i="50"/>
  <c r="D10" i="50"/>
  <c r="C10" i="50"/>
  <c r="E10" i="50" l="1"/>
  <c r="H10" i="50" s="1"/>
  <c r="C11" i="50"/>
  <c r="E11" i="50" s="1"/>
  <c r="C12" i="50" l="1"/>
  <c r="E12" i="50" s="1"/>
  <c r="H12" i="50" s="1"/>
  <c r="I12" i="50" s="1"/>
  <c r="J10" i="50"/>
  <c r="G10" i="50" s="1"/>
  <c r="K10" i="50" s="1"/>
  <c r="I10" i="50"/>
  <c r="H11" i="50"/>
  <c r="C13" i="50" l="1"/>
  <c r="E13" i="50" s="1"/>
  <c r="H13" i="50" s="1"/>
  <c r="L10" i="50"/>
  <c r="N10" i="50"/>
  <c r="I11" i="50"/>
  <c r="J11" i="50"/>
  <c r="G11" i="50" s="1"/>
  <c r="K11" i="50" s="1"/>
  <c r="J12" i="50"/>
  <c r="G12" i="50" s="1"/>
  <c r="K12" i="50" s="1"/>
  <c r="C14" i="50" l="1"/>
  <c r="E14" i="50" s="1"/>
  <c r="H14" i="50" s="1"/>
  <c r="N12" i="50"/>
  <c r="N11" i="50"/>
  <c r="M10" i="50"/>
  <c r="P10" i="50"/>
  <c r="I13" i="50"/>
  <c r="J13" i="50"/>
  <c r="G13" i="50" s="1"/>
  <c r="K13" i="50" s="1"/>
  <c r="L12" i="50"/>
  <c r="L11" i="50"/>
  <c r="M11" i="50" l="1"/>
  <c r="P11" i="50"/>
  <c r="M12" i="50"/>
  <c r="P12" i="50"/>
  <c r="C15" i="50"/>
  <c r="E15" i="50" s="1"/>
  <c r="H15" i="50" s="1"/>
  <c r="N13" i="50"/>
  <c r="L13" i="50"/>
  <c r="I14" i="50"/>
  <c r="J14" i="50"/>
  <c r="G14" i="50" s="1"/>
  <c r="K14" i="50" s="1"/>
  <c r="C16" i="50" l="1"/>
  <c r="M13" i="50"/>
  <c r="P13" i="50"/>
  <c r="N14" i="50"/>
  <c r="L14" i="50"/>
  <c r="J15" i="50"/>
  <c r="G15" i="50" s="1"/>
  <c r="K15" i="50" s="1"/>
  <c r="I15" i="50"/>
  <c r="E16" i="50" l="1"/>
  <c r="H16" i="50" s="1"/>
  <c r="I16" i="50" s="1"/>
  <c r="C17" i="50"/>
  <c r="M14" i="50"/>
  <c r="P14" i="50"/>
  <c r="N15" i="50"/>
  <c r="L15" i="50"/>
  <c r="J16" i="50" l="1"/>
  <c r="G16" i="50" s="1"/>
  <c r="K16" i="50" s="1"/>
  <c r="E17" i="50"/>
  <c r="H17" i="50" s="1"/>
  <c r="C18" i="50"/>
  <c r="M15" i="50"/>
  <c r="P15" i="50"/>
  <c r="N16" i="50" l="1"/>
  <c r="L16" i="50"/>
  <c r="P16" i="50" s="1"/>
  <c r="C19" i="50"/>
  <c r="E18" i="50"/>
  <c r="H18" i="50" s="1"/>
  <c r="I17" i="50"/>
  <c r="J17" i="50"/>
  <c r="G17" i="50" s="1"/>
  <c r="K17" i="50" s="1"/>
  <c r="M16" i="50" l="1"/>
  <c r="I18" i="50"/>
  <c r="J18" i="50"/>
  <c r="G18" i="50" s="1"/>
  <c r="K18" i="50" s="1"/>
  <c r="L17" i="50"/>
  <c r="N17" i="50"/>
  <c r="E19" i="50"/>
  <c r="H19" i="50" s="1"/>
  <c r="C20" i="50"/>
  <c r="M17" i="50" l="1"/>
  <c r="P17" i="50"/>
  <c r="L18" i="50"/>
  <c r="N18" i="50"/>
  <c r="E20" i="50"/>
  <c r="H20" i="50" s="1"/>
  <c r="C21" i="50"/>
  <c r="J19" i="50"/>
  <c r="G19" i="50" s="1"/>
  <c r="K19" i="50" s="1"/>
  <c r="I19" i="50"/>
  <c r="M18" i="50" l="1"/>
  <c r="P18" i="50"/>
  <c r="E21" i="50"/>
  <c r="H21" i="50" s="1"/>
  <c r="C22" i="50"/>
  <c r="N19" i="50"/>
  <c r="L19" i="50"/>
  <c r="I20" i="50"/>
  <c r="J20" i="50"/>
  <c r="G20" i="50" s="1"/>
  <c r="K20" i="50" s="1"/>
  <c r="M19" i="50" l="1"/>
  <c r="P19" i="50"/>
  <c r="L20" i="50"/>
  <c r="N20" i="50"/>
  <c r="E22" i="50"/>
  <c r="H22" i="50" s="1"/>
  <c r="C23" i="50"/>
  <c r="I21" i="50"/>
  <c r="J21" i="50"/>
  <c r="G21" i="50" s="1"/>
  <c r="K21" i="50" s="1"/>
  <c r="M20" i="50" l="1"/>
  <c r="P20" i="50"/>
  <c r="E23" i="50"/>
  <c r="H23" i="50" s="1"/>
  <c r="L21" i="50"/>
  <c r="N21" i="50"/>
  <c r="I22" i="50"/>
  <c r="J22" i="50"/>
  <c r="G22" i="50" s="1"/>
  <c r="K22" i="50" s="1"/>
  <c r="M21" i="50" l="1"/>
  <c r="P21" i="50"/>
  <c r="N22" i="50"/>
  <c r="L22" i="50"/>
  <c r="E24" i="50"/>
  <c r="H24" i="50" s="1"/>
  <c r="J23" i="50"/>
  <c r="G23" i="50" s="1"/>
  <c r="K23" i="50" s="1"/>
  <c r="I23" i="50"/>
  <c r="M22" i="50" l="1"/>
  <c r="P22" i="50"/>
  <c r="N23" i="50"/>
  <c r="L23" i="50"/>
  <c r="I24" i="50"/>
  <c r="J24" i="50"/>
  <c r="G24" i="50" s="1"/>
  <c r="K24" i="50" s="1"/>
  <c r="G25" i="50" l="1"/>
  <c r="M23" i="50"/>
  <c r="P23" i="50"/>
  <c r="N24" i="50"/>
  <c r="L24" i="50"/>
  <c r="N25" i="50" l="1"/>
  <c r="M25" i="50"/>
  <c r="M24" i="50"/>
  <c r="P24" i="50"/>
  <c r="P25" i="50" l="1"/>
</calcChain>
</file>

<file path=xl/sharedStrings.xml><?xml version="1.0" encoding="utf-8"?>
<sst xmlns="http://schemas.openxmlformats.org/spreadsheetml/2006/main" count="40" uniqueCount="40">
  <si>
    <t>Z(m)</t>
  </si>
  <si>
    <t>N(campo)</t>
  </si>
  <si>
    <r>
      <t>N1</t>
    </r>
    <r>
      <rPr>
        <sz val="8"/>
        <color indexed="8"/>
        <rFont val="Calibri"/>
        <family val="2"/>
      </rPr>
      <t>(Confina)</t>
    </r>
  </si>
  <si>
    <t>Suelo</t>
  </si>
  <si>
    <t>CORRELACIÓN GEOTÉCNICA DE PARÁMETROS GEOMECÁNICOS</t>
  </si>
  <si>
    <t>MEMORIAS DE CÁLCULO</t>
  </si>
  <si>
    <t>Parámetro:</t>
  </si>
  <si>
    <t>Proyecto:</t>
  </si>
  <si>
    <t>Fecha:</t>
  </si>
  <si>
    <r>
      <t>N</t>
    </r>
    <r>
      <rPr>
        <sz val="8"/>
        <color indexed="8"/>
        <rFont val="Calibri"/>
        <family val="2"/>
      </rPr>
      <t>1(45)</t>
    </r>
  </si>
  <si>
    <t>Rs</t>
  </si>
  <si>
    <r>
      <t>Z</t>
    </r>
    <r>
      <rPr>
        <sz val="8"/>
        <color indexed="8"/>
        <rFont val="Arial"/>
        <family val="2"/>
      </rPr>
      <t>NF(m)=</t>
    </r>
  </si>
  <si>
    <t>K (Marcuson)</t>
  </si>
  <si>
    <t>Gonzales 1999</t>
  </si>
  <si>
    <t>Sondeo:</t>
  </si>
  <si>
    <r>
      <rPr>
        <sz val="8"/>
        <color indexed="8"/>
        <rFont val="Symbol"/>
        <family val="1"/>
        <charset val="2"/>
      </rPr>
      <t>f</t>
    </r>
    <r>
      <rPr>
        <sz val="11"/>
        <color indexed="8"/>
        <rFont val="Calibri"/>
        <family val="2"/>
      </rPr>
      <t>'</t>
    </r>
    <r>
      <rPr>
        <sz val="8"/>
        <color indexed="8"/>
        <rFont val="Symbol"/>
        <family val="1"/>
        <charset val="2"/>
      </rPr>
      <t xml:space="preserve"> </t>
    </r>
    <r>
      <rPr>
        <sz val="10"/>
        <color indexed="8"/>
        <rFont val="Symbol"/>
        <family val="1"/>
        <charset val="2"/>
      </rPr>
      <t>(</t>
    </r>
    <r>
      <rPr>
        <sz val="10"/>
        <color indexed="8"/>
        <rFont val="Calibri"/>
        <family val="2"/>
      </rPr>
      <t>°</t>
    </r>
    <r>
      <rPr>
        <sz val="11"/>
        <color indexed="8"/>
        <rFont val="Calibri"/>
        <family val="2"/>
      </rPr>
      <t>)</t>
    </r>
    <r>
      <rPr>
        <sz val="8"/>
        <color indexed="8"/>
        <rFont val="Calibri"/>
        <family val="2"/>
      </rPr>
      <t xml:space="preserve"> </t>
    </r>
  </si>
  <si>
    <t>Método de Cálculo:</t>
  </si>
  <si>
    <r>
      <rPr>
        <sz val="8"/>
        <color indexed="8"/>
        <rFont val="Symbol"/>
        <family val="1"/>
        <charset val="2"/>
      </rPr>
      <t>f</t>
    </r>
    <r>
      <rPr>
        <sz val="11"/>
        <color indexed="8"/>
        <rFont val="Calibri"/>
        <family val="2"/>
      </rPr>
      <t>'</t>
    </r>
    <r>
      <rPr>
        <sz val="8"/>
        <color indexed="8"/>
        <rFont val="Calibri"/>
        <family val="2"/>
      </rPr>
      <t>eq</t>
    </r>
    <r>
      <rPr>
        <sz val="11"/>
        <color indexed="8"/>
        <rFont val="Calibri"/>
        <family val="2"/>
      </rPr>
      <t xml:space="preserve"> (°)</t>
    </r>
  </si>
  <si>
    <t>Seed Idriss (Marcuson) (Cn &lt;=2)</t>
  </si>
  <si>
    <t>Cn</t>
  </si>
  <si>
    <t>Kishida ajustada a e=45%</t>
  </si>
  <si>
    <t>P-1</t>
  </si>
  <si>
    <t>Peso del Martinete (Kg):</t>
  </si>
  <si>
    <t>Altura de caída (m):</t>
  </si>
  <si>
    <t>E (MPa)</t>
  </si>
  <si>
    <r>
      <rPr>
        <sz val="8"/>
        <color indexed="8"/>
        <rFont val="Symbol"/>
        <family val="1"/>
        <charset val="2"/>
      </rPr>
      <t xml:space="preserve">g </t>
    </r>
    <r>
      <rPr>
        <sz val="8"/>
        <color indexed="8"/>
        <rFont val="Arial"/>
        <family val="2"/>
      </rPr>
      <t>(kN/m3)</t>
    </r>
  </si>
  <si>
    <r>
      <rPr>
        <sz val="8"/>
        <color indexed="8"/>
        <rFont val="Symbol"/>
        <family val="1"/>
        <charset val="2"/>
      </rPr>
      <t>s</t>
    </r>
    <r>
      <rPr>
        <sz val="8"/>
        <color indexed="8"/>
        <rFont val="Calibri"/>
        <family val="2"/>
      </rPr>
      <t>v (kPa)</t>
    </r>
  </si>
  <si>
    <r>
      <t xml:space="preserve">m </t>
    </r>
    <r>
      <rPr>
        <sz val="8"/>
        <color indexed="8"/>
        <rFont val="Arial"/>
        <family val="2"/>
      </rPr>
      <t>(kPa)</t>
    </r>
  </si>
  <si>
    <r>
      <rPr>
        <sz val="8"/>
        <color indexed="8"/>
        <rFont val="Symbol"/>
        <family val="1"/>
        <charset val="2"/>
      </rPr>
      <t>s</t>
    </r>
    <r>
      <rPr>
        <sz val="8"/>
        <color indexed="8"/>
        <rFont val="Calibri"/>
        <family val="2"/>
      </rPr>
      <t>´v (kPa)</t>
    </r>
  </si>
  <si>
    <r>
      <rPr>
        <sz val="8"/>
        <color indexed="8"/>
        <rFont val="Symbol"/>
        <family val="1"/>
        <charset val="2"/>
      </rPr>
      <t>t</t>
    </r>
    <r>
      <rPr>
        <sz val="8"/>
        <color indexed="8"/>
        <rFont val="Calibri"/>
        <family val="2"/>
      </rPr>
      <t xml:space="preserve"> (kPa)</t>
    </r>
  </si>
  <si>
    <r>
      <t>C</t>
    </r>
    <r>
      <rPr>
        <sz val="10"/>
        <color indexed="8"/>
        <rFont val="Calibri"/>
        <family val="2"/>
      </rPr>
      <t xml:space="preserve">' </t>
    </r>
    <r>
      <rPr>
        <sz val="8"/>
        <color indexed="8"/>
        <rFont val="Calibri"/>
        <family val="2"/>
      </rPr>
      <t>(kPa)</t>
    </r>
  </si>
  <si>
    <t>N.A.</t>
  </si>
  <si>
    <r>
      <t>Ángulo de Fricción Interna (</t>
    </r>
    <r>
      <rPr>
        <sz val="8"/>
        <color indexed="8"/>
        <rFont val="Arial"/>
        <family val="2"/>
      </rPr>
      <t>ø°)  a partir del Standard Penetratión Testing (S.P.T.).</t>
    </r>
  </si>
  <si>
    <t>Cordialmente</t>
  </si>
  <si>
    <t>EDWIN MARIN MONTOYA</t>
  </si>
  <si>
    <t>Ingeniero Civil</t>
  </si>
  <si>
    <t>MP 05202-254406</t>
  </si>
  <si>
    <t>Piso duro y entresuelo</t>
  </si>
  <si>
    <t>Arena limosa de color café rojizo y amarillento de consistencia media a dura y moderados contenidos de humedad de origen residual de roca</t>
  </si>
  <si>
    <t>ESTUDIOD GEOTÉCNICO PARA LA COSNTRUCCIÓN DE 4 PISOS Y TECHO CRA 55 No 59 - 49 LOTE "A" BELLO - 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</si>
</sst>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Arial"/>
      <family val="2"/>
    </font>
    <font>
      <sz val="10"/>
      <color indexed="8"/>
      <name val="Calibri"/>
      <family val="2"/>
    </font>
    <font>
      <sz val="10"/>
      <color indexed="8"/>
      <name val="Symbol"/>
      <family val="1"/>
      <charset val="2"/>
    </font>
    <font>
      <sz val="8"/>
      <color indexed="8"/>
      <name val="Symbol"/>
      <family val="1"/>
      <charset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8"/>
      <color theme="1"/>
      <name val="Symbol"/>
      <family val="1"/>
      <charset val="2"/>
    </font>
    <font>
      <sz val="7"/>
      <name val="Calibri"/>
      <family val="2"/>
    </font>
    <font>
      <sz val="8"/>
      <color indexed="8"/>
      <name val="Calibri"/>
      <family val="1"/>
      <charset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0" fillId="0" borderId="1" xfId="0" applyBorder="1"/>
    <xf numFmtId="0" fontId="9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4" borderId="0" xfId="0" applyFill="1"/>
    <xf numFmtId="165" fontId="8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2" xfId="0" applyBorder="1"/>
    <xf numFmtId="2" fontId="8" fillId="0" borderId="1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165" fontId="8" fillId="0" borderId="0" xfId="0" applyNumberFormat="1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 vertical="center"/>
    </xf>
    <xf numFmtId="2" fontId="8" fillId="4" borderId="0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 wrapText="1"/>
    </xf>
    <xf numFmtId="2" fontId="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1" fontId="9" fillId="4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17" fontId="9" fillId="0" borderId="1" xfId="0" applyNumberFormat="1" applyFont="1" applyBorder="1" applyAlignment="1">
      <alignment horizontal="left"/>
    </xf>
    <xf numFmtId="0" fontId="9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1"/>
      <color rgb="FFD8E4BC"/>
      <color rgb="FFD9D9D9"/>
      <color rgb="FFFCFCFC"/>
      <color rgb="FFFFC8C8"/>
      <color rgb="FFFFC8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630114</xdr:colOff>
      <xdr:row>0</xdr:row>
      <xdr:rowOff>0</xdr:rowOff>
    </xdr:from>
    <xdr:to>
      <xdr:col>26</xdr:col>
      <xdr:colOff>258639</xdr:colOff>
      <xdr:row>31</xdr:row>
      <xdr:rowOff>38344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956C3D-10CE-41C0-989A-A7FD31441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268" y="0"/>
          <a:ext cx="5724525" cy="587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51"/>
  <sheetViews>
    <sheetView tabSelected="1" topLeftCell="A3" zoomScale="115" zoomScaleNormal="115" workbookViewId="0">
      <selection activeCell="B9" sqref="B9"/>
    </sheetView>
  </sheetViews>
  <sheetFormatPr baseColWidth="10" defaultRowHeight="15"/>
  <cols>
    <col min="1" max="1" width="4.5703125" customWidth="1"/>
    <col min="2" max="2" width="9.5703125" customWidth="1"/>
    <col min="3" max="3" width="6.85546875" customWidth="1"/>
    <col min="4" max="4" width="6.28515625" customWidth="1"/>
    <col min="5" max="5" width="7.42578125" customWidth="1"/>
    <col min="6" max="6" width="7.5703125" customWidth="1"/>
    <col min="7" max="7" width="10.5703125" customWidth="1"/>
    <col min="8" max="8" width="5.7109375" customWidth="1"/>
    <col min="9" max="9" width="9.42578125" customWidth="1"/>
    <col min="10" max="10" width="6.140625" customWidth="1"/>
    <col min="11" max="11" width="5.5703125" customWidth="1"/>
    <col min="12" max="12" width="6" customWidth="1"/>
    <col min="13" max="13" width="6.7109375" customWidth="1"/>
    <col min="14" max="14" width="7.7109375" bestFit="1" customWidth="1"/>
    <col min="15" max="15" width="8.42578125" hidden="1" customWidth="1"/>
    <col min="16" max="16" width="8.140625" customWidth="1"/>
    <col min="17" max="17" width="13.85546875" customWidth="1"/>
    <col min="18" max="18" width="2.5703125" customWidth="1"/>
  </cols>
  <sheetData>
    <row r="2" spans="1:19">
      <c r="A2" s="33" t="s">
        <v>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9">
      <c r="A3" s="33" t="s">
        <v>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9" ht="9.7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9">
      <c r="A5" s="35" t="s">
        <v>6</v>
      </c>
      <c r="B5" s="35"/>
      <c r="C5" s="36" t="s">
        <v>32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 spans="1:19" ht="24" customHeight="1">
      <c r="A6" s="35" t="s">
        <v>7</v>
      </c>
      <c r="B6" s="35"/>
      <c r="C6" s="37" t="s">
        <v>39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</row>
    <row r="7" spans="1:19" ht="15" customHeight="1">
      <c r="A7" s="39" t="s">
        <v>8</v>
      </c>
      <c r="B7" s="39"/>
      <c r="C7" s="42">
        <v>39379</v>
      </c>
      <c r="D7" s="36"/>
      <c r="E7" s="36"/>
      <c r="F7" s="40" t="s">
        <v>22</v>
      </c>
      <c r="G7" s="40"/>
      <c r="H7" s="11">
        <v>63.5</v>
      </c>
      <c r="I7" s="12" t="s">
        <v>11</v>
      </c>
      <c r="J7" s="43" t="s">
        <v>16</v>
      </c>
      <c r="K7" s="43"/>
      <c r="L7" s="44" t="s">
        <v>13</v>
      </c>
      <c r="M7" s="44"/>
      <c r="N7" s="38" t="s">
        <v>18</v>
      </c>
      <c r="O7" s="38"/>
      <c r="P7" s="38"/>
      <c r="Q7" s="38"/>
    </row>
    <row r="8" spans="1:19" ht="15" customHeight="1">
      <c r="A8" s="39" t="s">
        <v>14</v>
      </c>
      <c r="B8" s="39"/>
      <c r="C8" s="36" t="s">
        <v>21</v>
      </c>
      <c r="D8" s="36"/>
      <c r="E8" s="4"/>
      <c r="F8" s="40" t="s">
        <v>23</v>
      </c>
      <c r="G8" s="40"/>
      <c r="H8" s="11">
        <v>0.76</v>
      </c>
      <c r="I8" s="5" t="s">
        <v>31</v>
      </c>
      <c r="J8" s="43"/>
      <c r="K8" s="43"/>
      <c r="L8" s="44"/>
      <c r="M8" s="44"/>
      <c r="N8" s="38" t="s">
        <v>20</v>
      </c>
      <c r="O8" s="38"/>
      <c r="P8" s="38"/>
      <c r="Q8" s="38"/>
    </row>
    <row r="9" spans="1:19">
      <c r="A9" s="6" t="s">
        <v>0</v>
      </c>
      <c r="B9" s="45" t="s">
        <v>25</v>
      </c>
      <c r="C9" s="9" t="s">
        <v>26</v>
      </c>
      <c r="D9" s="8" t="s">
        <v>27</v>
      </c>
      <c r="E9" s="9" t="s">
        <v>28</v>
      </c>
      <c r="F9" s="6" t="s">
        <v>1</v>
      </c>
      <c r="G9" s="6" t="s">
        <v>2</v>
      </c>
      <c r="H9" s="6" t="s">
        <v>10</v>
      </c>
      <c r="I9" s="6" t="s">
        <v>12</v>
      </c>
      <c r="J9" s="6" t="s">
        <v>19</v>
      </c>
      <c r="K9" s="6" t="s">
        <v>9</v>
      </c>
      <c r="L9" s="9" t="s">
        <v>17</v>
      </c>
      <c r="M9" s="9" t="s">
        <v>29</v>
      </c>
      <c r="N9" s="9" t="s">
        <v>24</v>
      </c>
      <c r="O9" s="7" t="s">
        <v>30</v>
      </c>
      <c r="P9" s="9" t="s">
        <v>15</v>
      </c>
      <c r="Q9" s="9" t="s">
        <v>3</v>
      </c>
    </row>
    <row r="10" spans="1:19" ht="15" customHeight="1">
      <c r="A10" s="1">
        <v>0.45</v>
      </c>
      <c r="B10" s="3">
        <v>15</v>
      </c>
      <c r="C10" s="1">
        <f>B10*A10</f>
        <v>6.75</v>
      </c>
      <c r="D10" s="1">
        <f t="shared" ref="D10:D16" si="0">IF(A10&lt;=$I$8,(0),10*(A10-$I$8))</f>
        <v>0</v>
      </c>
      <c r="E10" s="1">
        <f t="shared" ref="E10:E16" si="1">C10-D10</f>
        <v>6.75</v>
      </c>
      <c r="F10" s="15">
        <v>13</v>
      </c>
      <c r="G10" s="2">
        <f>F10*J10</f>
        <v>24.697694137658701</v>
      </c>
      <c r="H10" s="1">
        <f t="shared" ref="H10:H16" si="2">E10/100</f>
        <v>6.7500000000000004E-2</v>
      </c>
      <c r="I10" s="1">
        <f>IF(H10&lt;1,(1.41),(0.92))</f>
        <v>1.41</v>
      </c>
      <c r="J10" s="3">
        <f>LOG10(20/H10)/LOG10(20)</f>
        <v>1.8998226259737461</v>
      </c>
      <c r="K10" s="2">
        <f t="shared" ref="K10:K16" si="3">G10*(42/45)</f>
        <v>23.051181195148121</v>
      </c>
      <c r="L10" s="2">
        <f t="shared" ref="L10:L16" si="4">(15+(POWER((12.5*K10),0.5)))</f>
        <v>31.974680113019847</v>
      </c>
      <c r="M10" s="10">
        <f t="shared" ref="M10:M16" si="5">E10*TAN(L10*PI()/180)</f>
        <v>4.2137216217074451</v>
      </c>
      <c r="N10" s="10">
        <f t="shared" ref="N10" si="6">0.3*(K10*45/55+6)</f>
        <v>7.4580172024454487</v>
      </c>
      <c r="O10" s="27">
        <v>5</v>
      </c>
      <c r="P10" s="27">
        <f>L10</f>
        <v>31.974680113019847</v>
      </c>
      <c r="Q10" s="30" t="s">
        <v>37</v>
      </c>
    </row>
    <row r="11" spans="1:19" ht="15" customHeight="1">
      <c r="A11" s="1">
        <v>1.45</v>
      </c>
      <c r="B11" s="3">
        <v>17</v>
      </c>
      <c r="C11" s="1">
        <f>B11*A11</f>
        <v>24.65</v>
      </c>
      <c r="D11" s="1">
        <f t="shared" si="0"/>
        <v>0</v>
      </c>
      <c r="E11" s="1">
        <f t="shared" si="1"/>
        <v>24.65</v>
      </c>
      <c r="F11" s="29">
        <v>17</v>
      </c>
      <c r="G11" s="2">
        <f t="shared" ref="G11:G16" si="7">F11*J11</f>
        <v>24.946866969272445</v>
      </c>
      <c r="H11" s="1">
        <f t="shared" si="2"/>
        <v>0.2465</v>
      </c>
      <c r="I11" s="1">
        <f t="shared" ref="I11:I16" si="8">IF(H11&lt;1,(1.41),(0.92))</f>
        <v>1.41</v>
      </c>
      <c r="J11" s="3">
        <f t="shared" ref="J11:J16" si="9">LOG10(20/H11)/LOG10(20)</f>
        <v>1.4674627628983792</v>
      </c>
      <c r="K11" s="2">
        <f t="shared" si="3"/>
        <v>23.283742504654281</v>
      </c>
      <c r="L11" s="2">
        <f t="shared" si="4"/>
        <v>32.060093238554664</v>
      </c>
      <c r="M11" s="10">
        <f t="shared" si="5"/>
        <v>15.439001460711578</v>
      </c>
      <c r="N11" s="10">
        <f>0.32*(K11*45/55+15)</f>
        <v>10.896107128491304</v>
      </c>
      <c r="O11" s="32">
        <v>5</v>
      </c>
      <c r="P11" s="27">
        <f t="shared" ref="P11:P35" si="10">L11</f>
        <v>32.060093238554664</v>
      </c>
      <c r="Q11" s="31" t="s">
        <v>38</v>
      </c>
    </row>
    <row r="12" spans="1:19" ht="14.45" customHeight="1">
      <c r="A12" s="1">
        <v>2.4500000000000002</v>
      </c>
      <c r="B12" s="3">
        <v>17</v>
      </c>
      <c r="C12" s="1">
        <f t="shared" ref="C12:C16" si="11">(A12-A11)*B12+C11</f>
        <v>41.650000000000006</v>
      </c>
      <c r="D12" s="1">
        <f t="shared" si="0"/>
        <v>0</v>
      </c>
      <c r="E12" s="1">
        <f t="shared" si="1"/>
        <v>41.650000000000006</v>
      </c>
      <c r="F12" s="28">
        <v>28</v>
      </c>
      <c r="G12" s="2">
        <f t="shared" si="7"/>
        <v>36.186421431249002</v>
      </c>
      <c r="H12" s="1">
        <f t="shared" si="2"/>
        <v>0.41650000000000004</v>
      </c>
      <c r="I12" s="1">
        <f t="shared" si="8"/>
        <v>1.41</v>
      </c>
      <c r="J12" s="3">
        <f t="shared" si="9"/>
        <v>1.2923721939731787</v>
      </c>
      <c r="K12" s="2">
        <f t="shared" si="3"/>
        <v>33.773993335832401</v>
      </c>
      <c r="L12" s="2">
        <f t="shared" si="4"/>
        <v>35.546895548912133</v>
      </c>
      <c r="M12" s="10">
        <f t="shared" si="5"/>
        <v>29.760120528178639</v>
      </c>
      <c r="N12" s="10">
        <f t="shared" ref="N12:N16" si="12">0.32*(K12*45/55+15)</f>
        <v>13.64264552792703</v>
      </c>
      <c r="O12" s="32"/>
      <c r="P12" s="27">
        <f t="shared" si="10"/>
        <v>35.546895548912133</v>
      </c>
      <c r="Q12" s="31"/>
    </row>
    <row r="13" spans="1:19" ht="15" customHeight="1">
      <c r="A13" s="1">
        <v>3.45</v>
      </c>
      <c r="B13" s="3">
        <v>17</v>
      </c>
      <c r="C13" s="1">
        <f t="shared" si="11"/>
        <v>58.650000000000006</v>
      </c>
      <c r="D13" s="1">
        <f t="shared" si="0"/>
        <v>0</v>
      </c>
      <c r="E13" s="1">
        <f t="shared" si="1"/>
        <v>58.650000000000006</v>
      </c>
      <c r="F13" s="28">
        <v>35</v>
      </c>
      <c r="G13" s="2">
        <f t="shared" si="7"/>
        <v>41.233998794206556</v>
      </c>
      <c r="H13" s="1">
        <f t="shared" si="2"/>
        <v>0.58650000000000002</v>
      </c>
      <c r="I13" s="1">
        <f t="shared" si="8"/>
        <v>1.41</v>
      </c>
      <c r="J13" s="3">
        <f t="shared" si="9"/>
        <v>1.1781142512630445</v>
      </c>
      <c r="K13" s="2">
        <f t="shared" si="3"/>
        <v>38.485065541259452</v>
      </c>
      <c r="L13" s="2">
        <f t="shared" si="4"/>
        <v>36.933155706959795</v>
      </c>
      <c r="M13" s="10">
        <f t="shared" si="5"/>
        <v>44.088760770577366</v>
      </c>
      <c r="N13" s="10">
        <f t="shared" si="12"/>
        <v>14.876089887166113</v>
      </c>
      <c r="O13" s="32"/>
      <c r="P13" s="27">
        <f t="shared" si="10"/>
        <v>36.933155706959795</v>
      </c>
      <c r="Q13" s="31"/>
    </row>
    <row r="14" spans="1:19">
      <c r="A14" s="1">
        <v>4.45</v>
      </c>
      <c r="B14" s="3">
        <v>17</v>
      </c>
      <c r="C14" s="1">
        <f t="shared" si="11"/>
        <v>75.650000000000006</v>
      </c>
      <c r="D14" s="1">
        <f t="shared" si="0"/>
        <v>0</v>
      </c>
      <c r="E14" s="1">
        <f t="shared" si="1"/>
        <v>75.650000000000006</v>
      </c>
      <c r="F14" s="28">
        <v>40</v>
      </c>
      <c r="G14" s="2">
        <f t="shared" si="7"/>
        <v>43.726003798365753</v>
      </c>
      <c r="H14" s="1">
        <f t="shared" si="2"/>
        <v>0.75650000000000006</v>
      </c>
      <c r="I14" s="1">
        <f t="shared" si="8"/>
        <v>1.41</v>
      </c>
      <c r="J14" s="3">
        <f t="shared" si="9"/>
        <v>1.0931500949591437</v>
      </c>
      <c r="K14" s="2">
        <f t="shared" si="3"/>
        <v>40.810936878474706</v>
      </c>
      <c r="L14" s="2">
        <f t="shared" si="4"/>
        <v>37.586206210449191</v>
      </c>
      <c r="M14" s="10">
        <f t="shared" si="5"/>
        <v>58.229334568481008</v>
      </c>
      <c r="N14" s="10">
        <f t="shared" si="12"/>
        <v>15.485045291818832</v>
      </c>
      <c r="O14" s="32"/>
      <c r="P14" s="27">
        <f t="shared" si="10"/>
        <v>37.586206210449191</v>
      </c>
      <c r="Q14" s="31"/>
      <c r="S14">
        <v>0.217</v>
      </c>
    </row>
    <row r="15" spans="1:19" ht="14.45" customHeight="1">
      <c r="A15" s="1">
        <v>5.45</v>
      </c>
      <c r="B15" s="3">
        <v>17</v>
      </c>
      <c r="C15" s="1">
        <f t="shared" si="11"/>
        <v>92.65</v>
      </c>
      <c r="D15" s="1">
        <f t="shared" si="0"/>
        <v>0</v>
      </c>
      <c r="E15" s="1">
        <f t="shared" si="1"/>
        <v>92.65</v>
      </c>
      <c r="F15" s="28">
        <v>46</v>
      </c>
      <c r="G15" s="2">
        <f t="shared" si="7"/>
        <v>47.172233166765309</v>
      </c>
      <c r="H15" s="14">
        <f t="shared" si="2"/>
        <v>0.9265000000000001</v>
      </c>
      <c r="I15" s="1">
        <f t="shared" si="8"/>
        <v>1.41</v>
      </c>
      <c r="J15" s="3">
        <f t="shared" si="9"/>
        <v>1.0254833297122894</v>
      </c>
      <c r="K15" s="2">
        <f t="shared" si="3"/>
        <v>44.027417622314289</v>
      </c>
      <c r="L15" s="2">
        <f t="shared" si="4"/>
        <v>38.459384482098599</v>
      </c>
      <c r="M15" s="10">
        <f t="shared" si="5"/>
        <v>73.589965686757964</v>
      </c>
      <c r="N15" s="10">
        <f t="shared" si="12"/>
        <v>16.327178432024105</v>
      </c>
      <c r="O15" s="32"/>
      <c r="P15" s="27">
        <f t="shared" si="10"/>
        <v>38.459384482098599</v>
      </c>
      <c r="Q15" s="31"/>
    </row>
    <row r="16" spans="1:19">
      <c r="A16" s="1">
        <v>6.45</v>
      </c>
      <c r="B16" s="3">
        <v>17</v>
      </c>
      <c r="C16" s="1">
        <f t="shared" si="11"/>
        <v>109.65</v>
      </c>
      <c r="D16" s="1">
        <f t="shared" si="0"/>
        <v>0</v>
      </c>
      <c r="E16" s="1">
        <f t="shared" si="1"/>
        <v>109.65</v>
      </c>
      <c r="F16" s="28">
        <v>45</v>
      </c>
      <c r="G16" s="2">
        <f t="shared" si="7"/>
        <v>43.616182081420391</v>
      </c>
      <c r="H16" s="14">
        <f t="shared" si="2"/>
        <v>1.0965</v>
      </c>
      <c r="I16" s="1">
        <f t="shared" si="8"/>
        <v>0.92</v>
      </c>
      <c r="J16" s="3">
        <f t="shared" si="9"/>
        <v>0.96924849069823082</v>
      </c>
      <c r="K16" s="2">
        <f t="shared" si="3"/>
        <v>40.708436609325702</v>
      </c>
      <c r="L16" s="2">
        <f t="shared" si="4"/>
        <v>37.557824753654131</v>
      </c>
      <c r="M16" s="10">
        <f t="shared" si="5"/>
        <v>84.313359828928085</v>
      </c>
      <c r="N16" s="10">
        <f t="shared" si="12"/>
        <v>15.458208857714364</v>
      </c>
      <c r="O16" s="32"/>
      <c r="P16" s="27">
        <f t="shared" si="10"/>
        <v>37.557824753654131</v>
      </c>
      <c r="Q16" s="31"/>
    </row>
    <row r="17" spans="1:17">
      <c r="A17" s="1">
        <v>7.45</v>
      </c>
      <c r="B17" s="3">
        <v>18</v>
      </c>
      <c r="C17" s="1">
        <f t="shared" ref="C17:C35" si="13">(A17-A16)*B17+C16</f>
        <v>127.65</v>
      </c>
      <c r="D17" s="1">
        <f t="shared" ref="D17:D35" si="14">IF(A17&lt;=$I$8,(0),10*(A17-$I$8))</f>
        <v>0</v>
      </c>
      <c r="E17" s="1">
        <f t="shared" ref="E17:E35" si="15">C17-D17</f>
        <v>127.65</v>
      </c>
      <c r="F17" s="28">
        <v>49</v>
      </c>
      <c r="G17" s="2">
        <f t="shared" ref="G17:G35" si="16">F17*J17</f>
        <v>45.006994338956872</v>
      </c>
      <c r="H17" s="14">
        <f t="shared" ref="H17:H35" si="17">E17/100</f>
        <v>1.2765</v>
      </c>
      <c r="I17" s="1">
        <f t="shared" ref="I17:I35" si="18">IF(H17&lt;1,(1.41),(0.92))</f>
        <v>0.92</v>
      </c>
      <c r="J17" s="3">
        <f t="shared" ref="J17:J35" si="19">LOG10(20/H17)/LOG10(20)</f>
        <v>0.91851008855014027</v>
      </c>
      <c r="K17" s="2">
        <f t="shared" ref="K17:K35" si="20">G17*(42/45)</f>
        <v>42.006528049693081</v>
      </c>
      <c r="L17" s="2">
        <f t="shared" ref="L17:L35" si="21">(15+(POWER((12.5*K17),0.5)))</f>
        <v>37.914659077131461</v>
      </c>
      <c r="M17" s="10">
        <f t="shared" ref="M17:M35" si="22">E17*TAN(L17*PI()/180)</f>
        <v>99.425275737260847</v>
      </c>
      <c r="N17" s="10">
        <f t="shared" ref="N17:N35" si="23">0.32*(K17*45/55+15)</f>
        <v>15.798072798465098</v>
      </c>
      <c r="O17" s="18"/>
      <c r="P17" s="27">
        <f t="shared" si="10"/>
        <v>37.914659077131461</v>
      </c>
      <c r="Q17" s="31"/>
    </row>
    <row r="18" spans="1:17">
      <c r="A18" s="1">
        <v>8.4499999999999993</v>
      </c>
      <c r="B18" s="3">
        <v>18</v>
      </c>
      <c r="C18" s="1">
        <f t="shared" si="13"/>
        <v>145.64999999999998</v>
      </c>
      <c r="D18" s="1">
        <f t="shared" si="14"/>
        <v>0</v>
      </c>
      <c r="E18" s="1">
        <f t="shared" si="15"/>
        <v>145.64999999999998</v>
      </c>
      <c r="F18" s="28">
        <v>50</v>
      </c>
      <c r="G18" s="2">
        <f t="shared" si="16"/>
        <v>43.723800008148913</v>
      </c>
      <c r="H18" s="14">
        <f t="shared" si="17"/>
        <v>1.4564999999999997</v>
      </c>
      <c r="I18" s="1">
        <f t="shared" si="18"/>
        <v>0.92</v>
      </c>
      <c r="J18" s="3">
        <f t="shared" si="19"/>
        <v>0.87447600016297822</v>
      </c>
      <c r="K18" s="2">
        <f t="shared" si="20"/>
        <v>40.808880007605651</v>
      </c>
      <c r="L18" s="2">
        <f t="shared" si="21"/>
        <v>37.585637030977693</v>
      </c>
      <c r="M18" s="10">
        <f t="shared" si="22"/>
        <v>112.10744578103532</v>
      </c>
      <c r="N18" s="10">
        <f t="shared" si="23"/>
        <v>15.484506765627662</v>
      </c>
      <c r="O18" s="18"/>
      <c r="P18" s="27">
        <f t="shared" si="10"/>
        <v>37.585637030977693</v>
      </c>
      <c r="Q18" s="31"/>
    </row>
    <row r="19" spans="1:17">
      <c r="A19" s="1">
        <v>9.4499999999999993</v>
      </c>
      <c r="B19" s="3">
        <v>18</v>
      </c>
      <c r="C19" s="1">
        <f t="shared" si="13"/>
        <v>163.64999999999998</v>
      </c>
      <c r="D19" s="1">
        <f t="shared" si="14"/>
        <v>0</v>
      </c>
      <c r="E19" s="1">
        <f t="shared" si="15"/>
        <v>163.64999999999998</v>
      </c>
      <c r="F19" s="28">
        <v>53</v>
      </c>
      <c r="G19" s="2">
        <f t="shared" si="16"/>
        <v>44.285713204984866</v>
      </c>
      <c r="H19" s="14">
        <f t="shared" si="17"/>
        <v>1.6364999999999998</v>
      </c>
      <c r="I19" s="1">
        <f t="shared" si="18"/>
        <v>0.92</v>
      </c>
      <c r="J19" s="3">
        <f t="shared" si="19"/>
        <v>0.83557949443367674</v>
      </c>
      <c r="K19" s="2">
        <f t="shared" si="20"/>
        <v>41.333332324652545</v>
      </c>
      <c r="L19" s="2">
        <f t="shared" si="21"/>
        <v>37.730302550959522</v>
      </c>
      <c r="M19" s="10">
        <f t="shared" si="22"/>
        <v>126.62140295904661</v>
      </c>
      <c r="N19" s="10">
        <f t="shared" si="23"/>
        <v>15.621817917727213</v>
      </c>
      <c r="O19" s="18"/>
      <c r="P19" s="27">
        <f t="shared" si="10"/>
        <v>37.730302550959522</v>
      </c>
      <c r="Q19" s="31"/>
    </row>
    <row r="20" spans="1:17">
      <c r="A20" s="1">
        <v>10.45</v>
      </c>
      <c r="B20" s="3">
        <v>18</v>
      </c>
      <c r="C20" s="1">
        <f t="shared" si="13"/>
        <v>181.64999999999998</v>
      </c>
      <c r="D20" s="1">
        <f t="shared" si="14"/>
        <v>0</v>
      </c>
      <c r="E20" s="1">
        <f t="shared" si="15"/>
        <v>181.64999999999998</v>
      </c>
      <c r="F20" s="28">
        <v>55</v>
      </c>
      <c r="G20" s="2">
        <f t="shared" si="16"/>
        <v>44.041031207236855</v>
      </c>
      <c r="H20" s="14">
        <f t="shared" si="17"/>
        <v>1.8164999999999998</v>
      </c>
      <c r="I20" s="1">
        <f t="shared" si="18"/>
        <v>0.92</v>
      </c>
      <c r="J20" s="3">
        <f t="shared" si="19"/>
        <v>0.80074602194976097</v>
      </c>
      <c r="K20" s="2">
        <f t="shared" si="20"/>
        <v>41.104962460087734</v>
      </c>
      <c r="L20" s="2">
        <f t="shared" si="21"/>
        <v>37.667422234367464</v>
      </c>
      <c r="M20" s="10">
        <f t="shared" si="22"/>
        <v>140.23016528177061</v>
      </c>
      <c r="N20" s="10">
        <f t="shared" si="23"/>
        <v>15.562026535004788</v>
      </c>
      <c r="O20" s="18"/>
      <c r="P20" s="27">
        <f t="shared" si="10"/>
        <v>37.667422234367464</v>
      </c>
      <c r="Q20" s="31"/>
    </row>
    <row r="21" spans="1:17">
      <c r="A21" s="1">
        <v>11.45</v>
      </c>
      <c r="B21" s="3">
        <v>18</v>
      </c>
      <c r="C21" s="1">
        <f t="shared" si="13"/>
        <v>199.64999999999998</v>
      </c>
      <c r="D21" s="1">
        <f t="shared" si="14"/>
        <v>0</v>
      </c>
      <c r="E21" s="1">
        <f t="shared" si="15"/>
        <v>199.64999999999998</v>
      </c>
      <c r="F21" s="28">
        <v>58</v>
      </c>
      <c r="G21" s="2">
        <f t="shared" si="16"/>
        <v>44.613974850078229</v>
      </c>
      <c r="H21" s="14">
        <f t="shared" si="17"/>
        <v>1.9964999999999997</v>
      </c>
      <c r="I21" s="1">
        <f t="shared" si="18"/>
        <v>0.92</v>
      </c>
      <c r="J21" s="3">
        <f t="shared" si="19"/>
        <v>0.76920646293238326</v>
      </c>
      <c r="K21" s="2">
        <f t="shared" si="20"/>
        <v>41.639709860073012</v>
      </c>
      <c r="L21" s="2">
        <f t="shared" si="21"/>
        <v>37.814389609430989</v>
      </c>
      <c r="M21" s="10">
        <f t="shared" si="22"/>
        <v>154.9447403016097</v>
      </c>
      <c r="N21" s="10">
        <f t="shared" si="23"/>
        <v>15.702033127000934</v>
      </c>
      <c r="O21" s="18"/>
      <c r="P21" s="27">
        <f t="shared" si="10"/>
        <v>37.814389609430989</v>
      </c>
      <c r="Q21" s="31"/>
    </row>
    <row r="22" spans="1:17">
      <c r="A22" s="1">
        <v>12.45</v>
      </c>
      <c r="B22" s="3">
        <v>18</v>
      </c>
      <c r="C22" s="1">
        <f t="shared" si="13"/>
        <v>217.64999999999998</v>
      </c>
      <c r="D22" s="1">
        <f t="shared" si="14"/>
        <v>0</v>
      </c>
      <c r="E22" s="1">
        <f t="shared" si="15"/>
        <v>217.64999999999998</v>
      </c>
      <c r="F22" s="28">
        <v>60</v>
      </c>
      <c r="G22" s="2">
        <f t="shared" si="16"/>
        <v>44.423479583756624</v>
      </c>
      <c r="H22" s="14">
        <f t="shared" si="17"/>
        <v>2.1764999999999999</v>
      </c>
      <c r="I22" s="1">
        <f t="shared" si="18"/>
        <v>0.92</v>
      </c>
      <c r="J22" s="3">
        <f t="shared" si="19"/>
        <v>0.74039132639594374</v>
      </c>
      <c r="K22" s="2">
        <f t="shared" si="20"/>
        <v>41.461914278172848</v>
      </c>
      <c r="L22" s="2">
        <f t="shared" si="21"/>
        <v>37.76563042125477</v>
      </c>
      <c r="M22" s="10">
        <f t="shared" si="22"/>
        <v>168.6176275881069</v>
      </c>
      <c r="N22" s="10">
        <f t="shared" si="23"/>
        <v>15.655483011012528</v>
      </c>
      <c r="O22" s="18"/>
      <c r="P22" s="27">
        <f t="shared" si="10"/>
        <v>37.76563042125477</v>
      </c>
      <c r="Q22" s="31"/>
    </row>
    <row r="23" spans="1:17">
      <c r="A23" s="1">
        <v>13.45</v>
      </c>
      <c r="B23" s="3">
        <v>18</v>
      </c>
      <c r="C23" s="1">
        <f t="shared" si="13"/>
        <v>235.64999999999998</v>
      </c>
      <c r="D23" s="1">
        <f t="shared" si="14"/>
        <v>0</v>
      </c>
      <c r="E23" s="1">
        <f t="shared" si="15"/>
        <v>235.64999999999998</v>
      </c>
      <c r="F23" s="28">
        <v>63</v>
      </c>
      <c r="G23" s="2">
        <f t="shared" si="16"/>
        <v>44.973629312015156</v>
      </c>
      <c r="H23" s="14">
        <f t="shared" si="17"/>
        <v>2.3564999999999996</v>
      </c>
      <c r="I23" s="1">
        <f t="shared" si="18"/>
        <v>0.92</v>
      </c>
      <c r="J23" s="3">
        <f t="shared" si="19"/>
        <v>0.71386713193674856</v>
      </c>
      <c r="K23" s="2">
        <f t="shared" si="20"/>
        <v>41.975387357880813</v>
      </c>
      <c r="L23" s="2">
        <f t="shared" si="21"/>
        <v>37.906163842370248</v>
      </c>
      <c r="M23" s="10">
        <f t="shared" si="22"/>
        <v>183.48923782629095</v>
      </c>
      <c r="N23" s="10">
        <f t="shared" si="23"/>
        <v>15.789919599154251</v>
      </c>
      <c r="O23" s="18"/>
      <c r="P23" s="27">
        <f t="shared" si="10"/>
        <v>37.906163842370248</v>
      </c>
      <c r="Q23" s="31"/>
    </row>
    <row r="24" spans="1:17">
      <c r="A24" s="1">
        <v>14.45</v>
      </c>
      <c r="B24" s="3">
        <v>18</v>
      </c>
      <c r="C24" s="1">
        <f t="shared" si="13"/>
        <v>253.64999999999998</v>
      </c>
      <c r="D24" s="1">
        <f t="shared" si="14"/>
        <v>0</v>
      </c>
      <c r="E24" s="1">
        <f t="shared" si="15"/>
        <v>253.64999999999998</v>
      </c>
      <c r="F24" s="28">
        <v>65</v>
      </c>
      <c r="G24" s="2">
        <f t="shared" si="16"/>
        <v>44.80425784183177</v>
      </c>
      <c r="H24" s="14">
        <f t="shared" si="17"/>
        <v>2.5364999999999998</v>
      </c>
      <c r="I24" s="1">
        <f t="shared" si="18"/>
        <v>0.92</v>
      </c>
      <c r="J24" s="3">
        <f t="shared" si="19"/>
        <v>0.68929627448971953</v>
      </c>
      <c r="K24" s="2">
        <f t="shared" si="20"/>
        <v>41.817307319042989</v>
      </c>
      <c r="L24" s="2">
        <f t="shared" si="21"/>
        <v>37.862990650569699</v>
      </c>
      <c r="M24" s="10">
        <f t="shared" si="22"/>
        <v>197.19813566124589</v>
      </c>
      <c r="N24" s="10">
        <f t="shared" si="23"/>
        <v>15.748531370803983</v>
      </c>
      <c r="O24" s="18"/>
      <c r="P24" s="27">
        <f t="shared" si="10"/>
        <v>37.862990650569699</v>
      </c>
      <c r="Q24" s="31"/>
    </row>
    <row r="25" spans="1:17">
      <c r="A25" s="1">
        <v>15.45</v>
      </c>
      <c r="B25" s="3">
        <v>18</v>
      </c>
      <c r="C25" s="1">
        <f t="shared" si="13"/>
        <v>271.64999999999998</v>
      </c>
      <c r="D25" s="1">
        <f t="shared" si="14"/>
        <v>0</v>
      </c>
      <c r="E25" s="1">
        <f t="shared" si="15"/>
        <v>271.64999999999998</v>
      </c>
      <c r="F25" s="28">
        <v>65</v>
      </c>
      <c r="G25" s="2">
        <f t="shared" si="16"/>
        <v>43.316694309084106</v>
      </c>
      <c r="H25" s="14">
        <f t="shared" si="17"/>
        <v>2.7164999999999999</v>
      </c>
      <c r="I25" s="1">
        <f t="shared" si="18"/>
        <v>0.92</v>
      </c>
      <c r="J25" s="3">
        <f t="shared" si="19"/>
        <v>0.66641068167821704</v>
      </c>
      <c r="K25" s="2">
        <f t="shared" si="20"/>
        <v>40.4289146884785</v>
      </c>
      <c r="L25" s="2">
        <f t="shared" si="21"/>
        <v>37.480245408046173</v>
      </c>
      <c r="M25" s="10">
        <f t="shared" si="22"/>
        <v>208.29560916084242</v>
      </c>
      <c r="N25" s="10">
        <f t="shared" si="23"/>
        <v>15.385024936619825</v>
      </c>
      <c r="O25" s="18"/>
      <c r="P25" s="27">
        <f t="shared" si="10"/>
        <v>37.480245408046173</v>
      </c>
      <c r="Q25" s="31"/>
    </row>
    <row r="26" spans="1:17" ht="15" customHeight="1">
      <c r="A26" s="1">
        <v>16.45</v>
      </c>
      <c r="B26" s="3">
        <v>18</v>
      </c>
      <c r="C26" s="1">
        <f t="shared" si="13"/>
        <v>289.64999999999998</v>
      </c>
      <c r="D26" s="1">
        <f t="shared" si="14"/>
        <v>0</v>
      </c>
      <c r="E26" s="1">
        <f t="shared" si="15"/>
        <v>289.64999999999998</v>
      </c>
      <c r="F26" s="28">
        <v>65</v>
      </c>
      <c r="G26" s="2">
        <f t="shared" si="16"/>
        <v>41.9246060933758</v>
      </c>
      <c r="H26" s="14">
        <f t="shared" si="17"/>
        <v>2.8964999999999996</v>
      </c>
      <c r="I26" s="1">
        <f t="shared" si="18"/>
        <v>0.92</v>
      </c>
      <c r="J26" s="3">
        <f t="shared" si="19"/>
        <v>0.64499393989808929</v>
      </c>
      <c r="K26" s="2">
        <f t="shared" si="20"/>
        <v>39.129632353817414</v>
      </c>
      <c r="L26" s="2">
        <f t="shared" si="21"/>
        <v>37.116066658036587</v>
      </c>
      <c r="M26" s="10">
        <f t="shared" si="22"/>
        <v>219.18828180620199</v>
      </c>
      <c r="N26" s="10">
        <f t="shared" si="23"/>
        <v>15.044849198090375</v>
      </c>
      <c r="O26" s="24"/>
      <c r="P26" s="27">
        <f t="shared" si="10"/>
        <v>37.116066658036587</v>
      </c>
      <c r="Q26" s="31"/>
    </row>
    <row r="27" spans="1:17">
      <c r="A27" s="1">
        <v>17.45</v>
      </c>
      <c r="B27" s="3">
        <v>18</v>
      </c>
      <c r="C27" s="1">
        <f t="shared" si="13"/>
        <v>307.64999999999998</v>
      </c>
      <c r="D27" s="1">
        <f t="shared" si="14"/>
        <v>0</v>
      </c>
      <c r="E27" s="1">
        <f t="shared" si="15"/>
        <v>307.64999999999998</v>
      </c>
      <c r="F27" s="28">
        <v>65</v>
      </c>
      <c r="G27" s="2">
        <f t="shared" si="16"/>
        <v>40.616473203315437</v>
      </c>
      <c r="H27" s="14">
        <f t="shared" si="17"/>
        <v>3.0764999999999998</v>
      </c>
      <c r="I27" s="1">
        <f t="shared" si="18"/>
        <v>0.92</v>
      </c>
      <c r="J27" s="3">
        <f t="shared" si="19"/>
        <v>0.62486881851254517</v>
      </c>
      <c r="K27" s="2">
        <f t="shared" si="20"/>
        <v>37.908708323094409</v>
      </c>
      <c r="L27" s="2">
        <f t="shared" si="21"/>
        <v>36.768299291370468</v>
      </c>
      <c r="M27" s="10">
        <f t="shared" si="22"/>
        <v>229.88623603672519</v>
      </c>
      <c r="N27" s="10">
        <f t="shared" si="23"/>
        <v>14.725189088228353</v>
      </c>
      <c r="O27" s="24"/>
      <c r="P27" s="27">
        <f t="shared" si="10"/>
        <v>36.768299291370468</v>
      </c>
      <c r="Q27" s="31"/>
    </row>
    <row r="28" spans="1:17">
      <c r="A28" s="1">
        <v>18.45</v>
      </c>
      <c r="B28" s="3">
        <v>18</v>
      </c>
      <c r="C28" s="1">
        <f t="shared" si="13"/>
        <v>325.64999999999998</v>
      </c>
      <c r="D28" s="1">
        <f t="shared" si="14"/>
        <v>0</v>
      </c>
      <c r="E28" s="1">
        <f t="shared" si="15"/>
        <v>325.64999999999998</v>
      </c>
      <c r="F28" s="28">
        <v>65</v>
      </c>
      <c r="G28" s="2">
        <f t="shared" si="16"/>
        <v>39.382742539193181</v>
      </c>
      <c r="H28" s="14">
        <f t="shared" si="17"/>
        <v>3.2565</v>
      </c>
      <c r="I28" s="1">
        <f t="shared" si="18"/>
        <v>0.92</v>
      </c>
      <c r="J28" s="3">
        <f t="shared" si="19"/>
        <v>0.60588834675681813</v>
      </c>
      <c r="K28" s="2">
        <f t="shared" si="20"/>
        <v>36.757226369913639</v>
      </c>
      <c r="L28" s="2">
        <f t="shared" si="21"/>
        <v>36.435142398032269</v>
      </c>
      <c r="M28" s="10">
        <f t="shared" si="22"/>
        <v>240.39833248276733</v>
      </c>
      <c r="N28" s="10">
        <f t="shared" si="23"/>
        <v>14.423710176850117</v>
      </c>
      <c r="O28" s="24"/>
      <c r="P28" s="27">
        <f t="shared" si="10"/>
        <v>36.435142398032269</v>
      </c>
      <c r="Q28" s="31"/>
    </row>
    <row r="29" spans="1:17">
      <c r="A29" s="1">
        <v>19.45</v>
      </c>
      <c r="B29" s="3">
        <v>18</v>
      </c>
      <c r="C29" s="1">
        <f t="shared" si="13"/>
        <v>343.65</v>
      </c>
      <c r="D29" s="1">
        <f t="shared" si="14"/>
        <v>0</v>
      </c>
      <c r="E29" s="1">
        <f t="shared" si="15"/>
        <v>343.65</v>
      </c>
      <c r="F29" s="28">
        <v>65</v>
      </c>
      <c r="G29" s="2">
        <f t="shared" si="16"/>
        <v>38.21540413974418</v>
      </c>
      <c r="H29" s="14">
        <f t="shared" si="17"/>
        <v>3.4364999999999997</v>
      </c>
      <c r="I29" s="1">
        <f t="shared" si="18"/>
        <v>0.92</v>
      </c>
      <c r="J29" s="3">
        <f t="shared" si="19"/>
        <v>0.58792929445760278</v>
      </c>
      <c r="K29" s="2">
        <f t="shared" si="20"/>
        <v>35.667710530427904</v>
      </c>
      <c r="L29" s="2">
        <f t="shared" si="21"/>
        <v>36.115074748395962</v>
      </c>
      <c r="M29" s="10">
        <f t="shared" si="22"/>
        <v>250.73241103878652</v>
      </c>
      <c r="N29" s="10">
        <f t="shared" si="23"/>
        <v>14.138455120693852</v>
      </c>
      <c r="O29" s="24"/>
      <c r="P29" s="27">
        <f t="shared" si="10"/>
        <v>36.115074748395962</v>
      </c>
      <c r="Q29" s="31"/>
    </row>
    <row r="30" spans="1:17">
      <c r="A30" s="1">
        <v>20.45</v>
      </c>
      <c r="B30" s="3">
        <v>18</v>
      </c>
      <c r="C30" s="1">
        <f t="shared" si="13"/>
        <v>361.65</v>
      </c>
      <c r="D30" s="1">
        <f t="shared" si="14"/>
        <v>0</v>
      </c>
      <c r="E30" s="1">
        <f t="shared" si="15"/>
        <v>361.65</v>
      </c>
      <c r="F30" s="28">
        <v>65</v>
      </c>
      <c r="G30" s="2">
        <f t="shared" si="16"/>
        <v>37.107675738380038</v>
      </c>
      <c r="H30" s="14">
        <f t="shared" si="17"/>
        <v>3.6164999999999998</v>
      </c>
      <c r="I30" s="1">
        <f t="shared" si="18"/>
        <v>0.92</v>
      </c>
      <c r="J30" s="3">
        <f t="shared" si="19"/>
        <v>0.57088731905200063</v>
      </c>
      <c r="K30" s="2">
        <f t="shared" si="20"/>
        <v>34.633830689154706</v>
      </c>
      <c r="L30" s="2">
        <f t="shared" si="21"/>
        <v>35.806798975681815</v>
      </c>
      <c r="M30" s="10">
        <f t="shared" si="22"/>
        <v>260.89544959155171</v>
      </c>
      <c r="N30" s="10">
        <f t="shared" si="23"/>
        <v>13.867766580433234</v>
      </c>
      <c r="O30" s="24"/>
      <c r="P30" s="27">
        <f t="shared" si="10"/>
        <v>35.806798975681815</v>
      </c>
      <c r="Q30" s="31"/>
    </row>
    <row r="31" spans="1:17">
      <c r="A31" s="1">
        <v>21.45</v>
      </c>
      <c r="B31" s="3">
        <v>18</v>
      </c>
      <c r="C31" s="1">
        <f t="shared" si="13"/>
        <v>379.65</v>
      </c>
      <c r="D31" s="1">
        <f t="shared" si="14"/>
        <v>0</v>
      </c>
      <c r="E31" s="1">
        <f t="shared" si="15"/>
        <v>379.65</v>
      </c>
      <c r="F31" s="28">
        <v>65</v>
      </c>
      <c r="G31" s="2">
        <f t="shared" si="16"/>
        <v>36.053764018187721</v>
      </c>
      <c r="H31" s="14">
        <f t="shared" si="17"/>
        <v>3.7965</v>
      </c>
      <c r="I31" s="1">
        <f t="shared" si="18"/>
        <v>0.92</v>
      </c>
      <c r="J31" s="3">
        <f t="shared" si="19"/>
        <v>0.55467329258750342</v>
      </c>
      <c r="K31" s="2">
        <f t="shared" si="20"/>
        <v>33.650179750308538</v>
      </c>
      <c r="L31" s="2">
        <f t="shared" si="21"/>
        <v>35.509199079409626</v>
      </c>
      <c r="M31" s="10">
        <f t="shared" si="22"/>
        <v>270.89369098446559</v>
      </c>
      <c r="N31" s="10">
        <f t="shared" si="23"/>
        <v>13.610228880080781</v>
      </c>
      <c r="O31" s="24"/>
      <c r="P31" s="27">
        <f t="shared" si="10"/>
        <v>35.509199079409626</v>
      </c>
      <c r="Q31" s="31"/>
    </row>
    <row r="32" spans="1:17">
      <c r="A32" s="1">
        <v>22.45</v>
      </c>
      <c r="B32" s="3">
        <v>18</v>
      </c>
      <c r="C32" s="1">
        <f t="shared" si="13"/>
        <v>397.65</v>
      </c>
      <c r="D32" s="1">
        <f t="shared" si="14"/>
        <v>0</v>
      </c>
      <c r="E32" s="1">
        <f t="shared" si="15"/>
        <v>397.65</v>
      </c>
      <c r="F32" s="28">
        <v>65</v>
      </c>
      <c r="G32" s="2">
        <f t="shared" si="16"/>
        <v>35.04868122092509</v>
      </c>
      <c r="H32" s="14">
        <f t="shared" si="17"/>
        <v>3.9764999999999997</v>
      </c>
      <c r="I32" s="1">
        <f t="shared" si="18"/>
        <v>0.92</v>
      </c>
      <c r="J32" s="3">
        <f t="shared" si="19"/>
        <v>0.53921048032192442</v>
      </c>
      <c r="K32" s="2">
        <f t="shared" si="20"/>
        <v>32.712102472863421</v>
      </c>
      <c r="L32" s="2">
        <f t="shared" si="21"/>
        <v>35.221307596463504</v>
      </c>
      <c r="M32" s="10">
        <f t="shared" si="22"/>
        <v>280.73274577345654</v>
      </c>
      <c r="N32" s="10">
        <f t="shared" si="23"/>
        <v>13.364623192895152</v>
      </c>
      <c r="O32" s="24"/>
      <c r="P32" s="27">
        <f t="shared" si="10"/>
        <v>35.221307596463504</v>
      </c>
      <c r="Q32" s="31"/>
    </row>
    <row r="33" spans="1:17">
      <c r="A33" s="1">
        <v>23.45</v>
      </c>
      <c r="B33" s="3">
        <v>18</v>
      </c>
      <c r="C33" s="1">
        <f t="shared" si="13"/>
        <v>415.65</v>
      </c>
      <c r="D33" s="1">
        <f t="shared" si="14"/>
        <v>0</v>
      </c>
      <c r="E33" s="1">
        <f t="shared" si="15"/>
        <v>415.65</v>
      </c>
      <c r="F33" s="28">
        <v>65</v>
      </c>
      <c r="G33" s="2">
        <f t="shared" si="16"/>
        <v>34.08810238926165</v>
      </c>
      <c r="H33" s="14">
        <f t="shared" si="17"/>
        <v>4.1564999999999994</v>
      </c>
      <c r="I33" s="1">
        <f t="shared" si="18"/>
        <v>0.92</v>
      </c>
      <c r="J33" s="3">
        <f t="shared" si="19"/>
        <v>0.52443234445017928</v>
      </c>
      <c r="K33" s="2">
        <f t="shared" si="20"/>
        <v>31.815562229977541</v>
      </c>
      <c r="L33" s="2">
        <f t="shared" si="21"/>
        <v>34.942279906638539</v>
      </c>
      <c r="M33" s="10">
        <f t="shared" si="22"/>
        <v>290.4176762681343</v>
      </c>
      <c r="N33" s="10">
        <f t="shared" si="23"/>
        <v>13.129892656575937</v>
      </c>
      <c r="O33" s="24"/>
      <c r="P33" s="27">
        <f t="shared" si="10"/>
        <v>34.942279906638539</v>
      </c>
      <c r="Q33" s="31"/>
    </row>
    <row r="34" spans="1:17">
      <c r="A34" s="1">
        <v>24.45</v>
      </c>
      <c r="B34" s="3">
        <v>18</v>
      </c>
      <c r="C34" s="1">
        <f t="shared" si="13"/>
        <v>433.65</v>
      </c>
      <c r="D34" s="1">
        <f t="shared" si="14"/>
        <v>0</v>
      </c>
      <c r="E34" s="1">
        <f t="shared" si="15"/>
        <v>433.65</v>
      </c>
      <c r="F34" s="28">
        <v>65</v>
      </c>
      <c r="G34" s="2">
        <f t="shared" si="16"/>
        <v>33.168252895601874</v>
      </c>
      <c r="H34" s="14">
        <f t="shared" si="17"/>
        <v>4.3365</v>
      </c>
      <c r="I34" s="1">
        <f t="shared" si="18"/>
        <v>0.92</v>
      </c>
      <c r="J34" s="3">
        <f t="shared" si="19"/>
        <v>0.51028081377849033</v>
      </c>
      <c r="K34" s="2">
        <f t="shared" si="20"/>
        <v>30.957036035895083</v>
      </c>
      <c r="L34" s="2">
        <f t="shared" si="21"/>
        <v>34.671373883099491</v>
      </c>
      <c r="M34" s="10">
        <f t="shared" si="22"/>
        <v>299.95306591820793</v>
      </c>
      <c r="N34" s="10">
        <f t="shared" si="23"/>
        <v>12.905114889397987</v>
      </c>
      <c r="O34" s="24"/>
      <c r="P34" s="27">
        <f t="shared" si="10"/>
        <v>34.671373883099491</v>
      </c>
      <c r="Q34" s="31"/>
    </row>
    <row r="35" spans="1:17">
      <c r="A35" s="1">
        <v>25.45</v>
      </c>
      <c r="B35" s="3">
        <v>18</v>
      </c>
      <c r="C35" s="1">
        <f t="shared" si="13"/>
        <v>451.65</v>
      </c>
      <c r="D35" s="1">
        <f t="shared" si="14"/>
        <v>0</v>
      </c>
      <c r="E35" s="1">
        <f t="shared" si="15"/>
        <v>451.65</v>
      </c>
      <c r="F35" s="28">
        <v>65</v>
      </c>
      <c r="G35" s="2">
        <f t="shared" si="16"/>
        <v>32.285818859828026</v>
      </c>
      <c r="H35" s="14">
        <f t="shared" si="17"/>
        <v>4.5164999999999997</v>
      </c>
      <c r="I35" s="1">
        <f t="shared" si="18"/>
        <v>0.92</v>
      </c>
      <c r="J35" s="3">
        <f t="shared" si="19"/>
        <v>0.49670490553581581</v>
      </c>
      <c r="K35" s="2">
        <f t="shared" si="20"/>
        <v>30.133430935839492</v>
      </c>
      <c r="L35" s="2">
        <f t="shared" si="21"/>
        <v>34.407933601957566</v>
      </c>
      <c r="M35" s="10">
        <f t="shared" si="22"/>
        <v>309.34307708990116</v>
      </c>
      <c r="N35" s="10">
        <f t="shared" si="23"/>
        <v>12.689480099565248</v>
      </c>
      <c r="O35" s="24"/>
      <c r="P35" s="27">
        <f t="shared" si="10"/>
        <v>34.407933601957566</v>
      </c>
      <c r="Q35" s="31"/>
    </row>
    <row r="36" spans="1:17">
      <c r="A36" s="16"/>
      <c r="B36" s="19"/>
      <c r="C36" s="16"/>
      <c r="D36" s="16"/>
      <c r="E36" s="16"/>
      <c r="F36" s="20"/>
      <c r="G36" s="21"/>
      <c r="H36" s="22"/>
      <c r="I36" s="16"/>
      <c r="J36" s="19"/>
      <c r="K36" s="21"/>
      <c r="L36" s="21"/>
      <c r="M36" s="23"/>
      <c r="N36" s="23"/>
      <c r="O36" s="24"/>
      <c r="P36" s="25"/>
      <c r="Q36" s="26"/>
    </row>
    <row r="37" spans="1:17">
      <c r="A37" s="16"/>
      <c r="B37" s="19"/>
      <c r="C37" s="16"/>
      <c r="D37" s="16"/>
      <c r="E37" s="16"/>
      <c r="F37" s="20"/>
      <c r="G37" s="21"/>
      <c r="H37" s="22"/>
      <c r="I37" s="16"/>
      <c r="J37" s="19"/>
      <c r="K37" s="21"/>
      <c r="L37" s="21"/>
      <c r="M37" s="23"/>
      <c r="N37" s="23"/>
      <c r="O37" s="24"/>
      <c r="P37" s="25"/>
      <c r="Q37" s="26"/>
    </row>
    <row r="38" spans="1:17">
      <c r="A38" s="16"/>
      <c r="B38" s="19"/>
      <c r="C38" s="16"/>
      <c r="D38" s="16"/>
      <c r="E38" s="16"/>
      <c r="F38" s="20"/>
      <c r="G38" s="21"/>
      <c r="H38" s="22"/>
      <c r="I38" s="16"/>
      <c r="J38" s="19"/>
      <c r="K38" s="21"/>
      <c r="L38" s="21"/>
      <c r="M38" s="23"/>
      <c r="N38" s="23"/>
      <c r="O38" s="24"/>
      <c r="P38" s="25"/>
      <c r="Q38" s="26"/>
    </row>
    <row r="39" spans="1:17">
      <c r="A39" s="16"/>
      <c r="B39" s="19"/>
      <c r="C39" s="16"/>
      <c r="D39" s="16"/>
      <c r="E39" s="16"/>
      <c r="F39" s="20"/>
      <c r="G39" s="21"/>
      <c r="H39" s="22"/>
      <c r="I39" s="16"/>
      <c r="J39" s="19"/>
      <c r="K39" s="21"/>
      <c r="L39" s="21"/>
      <c r="M39" s="23"/>
      <c r="N39" s="23"/>
      <c r="O39" s="24"/>
      <c r="P39" s="25"/>
      <c r="Q39" s="26"/>
    </row>
    <row r="40" spans="1:17">
      <c r="A40" s="16"/>
      <c r="B40" s="19"/>
      <c r="C40" s="16"/>
      <c r="D40" s="16"/>
      <c r="E40" s="16"/>
      <c r="F40" s="20"/>
      <c r="G40" s="21"/>
      <c r="H40" s="22"/>
      <c r="I40" s="16"/>
      <c r="J40" s="19"/>
      <c r="K40" s="21"/>
      <c r="L40" s="21"/>
      <c r="M40" s="23"/>
      <c r="N40" s="23"/>
      <c r="O40" s="24"/>
      <c r="P40" s="25"/>
      <c r="Q40" s="26"/>
    </row>
    <row r="41" spans="1:17">
      <c r="A41" s="16"/>
      <c r="B41" s="19"/>
      <c r="C41" s="16"/>
      <c r="D41" s="16"/>
      <c r="E41" s="16"/>
      <c r="F41" s="20"/>
      <c r="G41" s="21"/>
      <c r="H41" s="22"/>
      <c r="I41" s="16"/>
      <c r="J41" s="19"/>
      <c r="K41" s="21"/>
      <c r="L41" s="21"/>
      <c r="M41" s="23"/>
      <c r="N41" s="23"/>
      <c r="O41" s="24"/>
      <c r="P41" s="25"/>
      <c r="Q41" s="26"/>
    </row>
    <row r="42" spans="1:17">
      <c r="A42" s="16"/>
      <c r="B42" s="19"/>
      <c r="C42" s="16"/>
      <c r="D42" s="16"/>
      <c r="E42" s="16"/>
      <c r="F42" s="20"/>
      <c r="G42" s="21"/>
      <c r="H42" s="22"/>
      <c r="I42" s="16"/>
      <c r="J42" s="19"/>
      <c r="K42" s="21"/>
      <c r="L42" s="21"/>
      <c r="M42" s="23"/>
      <c r="N42" s="23"/>
      <c r="O42" s="24"/>
      <c r="P42" s="25"/>
      <c r="Q42" s="26"/>
    </row>
    <row r="43" spans="1:17">
      <c r="A43" s="16"/>
      <c r="B43" s="19"/>
      <c r="C43" s="16"/>
      <c r="D43" s="16"/>
      <c r="E43" s="16"/>
      <c r="F43" s="20"/>
      <c r="G43" s="21"/>
      <c r="H43" s="22"/>
      <c r="I43" s="16"/>
      <c r="J43" s="19"/>
      <c r="K43" s="21"/>
      <c r="L43" s="21"/>
      <c r="M43" s="23"/>
      <c r="N43" s="23"/>
      <c r="O43" s="24"/>
      <c r="P43" s="25"/>
      <c r="Q43" s="26"/>
    </row>
    <row r="44" spans="1:17">
      <c r="A44" s="16"/>
      <c r="B44" s="19"/>
      <c r="C44" s="16"/>
      <c r="D44" s="16"/>
      <c r="E44" s="16"/>
      <c r="F44" s="20"/>
      <c r="G44" s="21"/>
      <c r="H44" s="22"/>
      <c r="I44" s="16"/>
      <c r="J44" s="19"/>
      <c r="K44" s="21"/>
      <c r="L44" s="21"/>
      <c r="M44" s="23"/>
      <c r="N44" s="23"/>
      <c r="O44" s="24"/>
      <c r="P44" s="25"/>
      <c r="Q44" s="26"/>
    </row>
    <row r="45" spans="1:17">
      <c r="A45" s="16"/>
      <c r="Q45" s="13"/>
    </row>
    <row r="46" spans="1:17">
      <c r="A46" s="41" t="s">
        <v>33</v>
      </c>
      <c r="B46" s="41"/>
      <c r="Q46" s="13"/>
    </row>
    <row r="48" spans="1:17" ht="15.75" thickBot="1">
      <c r="A48" s="17"/>
      <c r="B48" s="17"/>
      <c r="C48" s="17"/>
      <c r="D48" s="17"/>
    </row>
    <row r="49" spans="1:1">
      <c r="A49" t="s">
        <v>34</v>
      </c>
    </row>
    <row r="50" spans="1:1">
      <c r="A50" t="s">
        <v>35</v>
      </c>
    </row>
    <row r="51" spans="1:1">
      <c r="A51" t="s">
        <v>36</v>
      </c>
    </row>
  </sheetData>
  <mergeCells count="20">
    <mergeCell ref="A46:B46"/>
    <mergeCell ref="C7:E7"/>
    <mergeCell ref="F7:G7"/>
    <mergeCell ref="J7:K8"/>
    <mergeCell ref="L7:M8"/>
    <mergeCell ref="Q11:Q35"/>
    <mergeCell ref="O11:O16"/>
    <mergeCell ref="A2:Q2"/>
    <mergeCell ref="A3:Q3"/>
    <mergeCell ref="A4:Q4"/>
    <mergeCell ref="A5:B5"/>
    <mergeCell ref="C5:Q5"/>
    <mergeCell ref="A6:B6"/>
    <mergeCell ref="C6:Q6"/>
    <mergeCell ref="N7:Q7"/>
    <mergeCell ref="A8:B8"/>
    <mergeCell ref="C8:D8"/>
    <mergeCell ref="F8:G8"/>
    <mergeCell ref="N8:Q8"/>
    <mergeCell ref="A7:B7"/>
  </mergeCells>
  <pageMargins left="0.7" right="0.7" top="0.75" bottom="0.75" header="0.3" footer="0.3"/>
  <pageSetup paperSize="122" scale="97" orientation="landscape" r:id="rId1"/>
  <headerFooter>
    <oddFooter>&amp;C&amp;"Arial,Normal"&amp;8MEMORIAS DE CÁLCULO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P3</vt:lpstr>
      <vt:lpstr>'P3'!Área_de_impresión</vt:lpstr>
    </vt:vector>
  </TitlesOfParts>
  <Company>Familia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Gomez</dc:creator>
  <cp:lastModifiedBy>Paola Andrea Garcia Tangarife</cp:lastModifiedBy>
  <cp:lastPrinted>2026-04-28T18:21:52Z</cp:lastPrinted>
  <dcterms:created xsi:type="dcterms:W3CDTF">2010-03-28T21:22:08Z</dcterms:created>
  <dcterms:modified xsi:type="dcterms:W3CDTF">2026-05-27T22:01:36Z</dcterms:modified>
</cp:coreProperties>
</file>