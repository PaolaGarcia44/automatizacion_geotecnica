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1" showHorizontalScroll="1" showVerticalScroll="1" showSheetTabs="1" xWindow="6150" yWindow="4050" windowWidth="15375" windowHeight="7785" tabRatio="600" firstSheet="0" activeTab="0" autoFilterDateGrouping="1"/>
  </bookViews>
  <sheets>
    <sheet xmlns:r="http://schemas.openxmlformats.org/officeDocument/2006/relationships" name="P3" sheetId="1" state="visible" r:id="rId1"/>
  </sheets>
  <definedNames>
    <definedName name="_xlnm.Print_Area" localSheetId="0">'P3'!$A$2:$Q$25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4">
    <font>
      <name val="Calibri"/>
      <family val="2"/>
      <color theme="1"/>
      <sz val="11"/>
      <scheme val="minor"/>
    </font>
    <font>
      <name val="Calibri"/>
      <family val="2"/>
      <color indexed="8"/>
      <sz val="11"/>
    </font>
    <font>
      <name val="Calibri"/>
      <family val="2"/>
      <color indexed="8"/>
      <sz val="8"/>
    </font>
    <font>
      <name val="Arial"/>
      <family val="2"/>
      <color indexed="8"/>
      <sz val="8"/>
    </font>
    <font>
      <name val="Calibri"/>
      <family val="2"/>
      <color indexed="8"/>
      <sz val="10"/>
    </font>
    <font>
      <name val="Symbol"/>
      <charset val="2"/>
      <family val="1"/>
      <color indexed="8"/>
      <sz val="10"/>
    </font>
    <font>
      <name val="Symbol"/>
      <charset val="2"/>
      <family val="1"/>
      <color indexed="8"/>
      <sz val="8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8"/>
      <scheme val="minor"/>
    </font>
    <font>
      <name val="Arial"/>
      <family val="2"/>
      <color theme="1"/>
      <sz val="8"/>
    </font>
    <font>
      <name val="Calibri"/>
      <family val="2"/>
      <color theme="1"/>
      <sz val="8"/>
    </font>
    <font>
      <name val="Symbol"/>
      <charset val="2"/>
      <family val="1"/>
      <color theme="1"/>
      <sz val="8"/>
    </font>
    <font>
      <name val="Calibri"/>
      <family val="2"/>
      <sz val="7"/>
    </font>
    <font>
      <name val="Calibri"/>
      <charset val="2"/>
      <family val="1"/>
      <color indexed="8"/>
      <sz val="8"/>
    </font>
  </fonts>
  <fills count="9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8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0" fontId="0" fillId="0" borderId="1" pivotButton="0" quotePrefix="0" xfId="0"/>
    <xf numFmtId="0" fontId="9" fillId="0" borderId="1" applyAlignment="1" pivotButton="0" quotePrefix="0" xfId="0">
      <alignment horizontal="center"/>
    </xf>
    <xf numFmtId="0" fontId="8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11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0" fillId="4" borderId="0" pivotButton="0" quotePrefix="0" xfId="0"/>
    <xf numFmtId="165" fontId="8" fillId="0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0" fillId="0" borderId="2" pivotButton="0" quotePrefix="0" xfId="0"/>
    <xf numFmtId="2" fontId="8" fillId="0" borderId="1" applyAlignment="1" pivotButton="0" quotePrefix="0" xfId="0">
      <alignment horizontal="center" vertical="center"/>
    </xf>
    <xf numFmtId="2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164" fontId="8" fillId="0" borderId="0" applyAlignment="1" pivotButton="0" quotePrefix="0" xfId="0">
      <alignment horizontal="center"/>
    </xf>
    <xf numFmtId="2" fontId="8" fillId="0" borderId="0" applyAlignment="1" pivotButton="0" quotePrefix="0" xfId="0">
      <alignment horizontal="center" vertical="center"/>
    </xf>
    <xf numFmtId="2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 wrapText="1"/>
    </xf>
    <xf numFmtId="2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1" fontId="9" fillId="4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vertical="center" wrapText="1"/>
    </xf>
    <xf numFmtId="0" fontId="12" fillId="8" borderId="1" applyAlignment="1" pivotButton="0" quotePrefix="0" xfId="0">
      <alignment horizontal="center" vertical="center" wrapText="1"/>
    </xf>
    <xf numFmtId="2" fontId="8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2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7" fontId="9" fillId="0" borderId="1" applyAlignment="1" pivotButton="0" quotePrefix="0" xfId="0">
      <alignment horizontal="left"/>
    </xf>
    <xf numFmtId="0" fontId="9" fillId="2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1"/>
  <sheetViews>
    <sheetView tabSelected="1" topLeftCell="A3" zoomScale="115" zoomScaleNormal="115" workbookViewId="0">
      <selection activeCell="B9" sqref="B9"/>
    </sheetView>
  </sheetViews>
  <sheetFormatPr baseColWidth="10" defaultRowHeight="15"/>
  <cols>
    <col width="4.5703125" customWidth="1" min="1" max="1"/>
    <col width="9.5703125" customWidth="1" min="2" max="2"/>
    <col width="6.85546875" customWidth="1" min="3" max="3"/>
    <col width="6.28515625" customWidth="1" min="4" max="4"/>
    <col width="7.42578125" customWidth="1" min="5" max="5"/>
    <col width="7.5703125" customWidth="1" min="6" max="6"/>
    <col width="10.5703125" customWidth="1" min="7" max="7"/>
    <col width="5.7109375" customWidth="1" min="8" max="8"/>
    <col width="9.42578125" customWidth="1" min="9" max="9"/>
    <col width="6.140625" customWidth="1" min="10" max="10"/>
    <col width="5.5703125" customWidth="1" min="11" max="11"/>
    <col width="6" customWidth="1" min="12" max="12"/>
    <col width="6.7109375" customWidth="1" min="13" max="13"/>
    <col width="7.7109375" bestFit="1" customWidth="1" min="14" max="14"/>
    <col hidden="1" width="8.42578125" customWidth="1" min="15" max="15"/>
    <col width="8.140625" customWidth="1" min="16" max="16"/>
    <col width="13.85546875" customWidth="1" min="17" max="17"/>
    <col width="2.5703125" customWidth="1" min="18" max="18"/>
  </cols>
  <sheetData>
    <row r="1"/>
    <row r="2">
      <c r="A2" s="33" t="inlineStr">
        <is>
          <t>CORRELACIÓN GEOTÉCNICA DE PARÁMETROS GEOMECÁNICOS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7" t="n"/>
    </row>
    <row r="3">
      <c r="A3" s="33" t="inlineStr">
        <is>
          <t>MEMORIAS DE CÁLCULO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6" t="n"/>
      <c r="O3" s="46" t="n"/>
      <c r="P3" s="46" t="n"/>
      <c r="Q3" s="47" t="n"/>
    </row>
    <row r="4" ht="9.75" customHeight="1">
      <c r="A4" s="34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46" t="n"/>
      <c r="L4" s="46" t="n"/>
      <c r="M4" s="46" t="n"/>
      <c r="N4" s="46" t="n"/>
      <c r="O4" s="46" t="n"/>
      <c r="P4" s="46" t="n"/>
      <c r="Q4" s="47" t="n"/>
    </row>
    <row r="5">
      <c r="A5" s="35" t="inlineStr">
        <is>
          <t>Parámetro:</t>
        </is>
      </c>
      <c r="B5" s="47" t="n"/>
      <c r="C5" s="36" t="inlineStr">
        <is>
          <t>Ángulo de Fricción Interna (ø°)  a partir del Standard Penetratión Testing (S.P.T.).</t>
        </is>
      </c>
      <c r="D5" s="46" t="n"/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7" t="n"/>
    </row>
    <row r="6" ht="24" customHeight="1">
      <c r="A6" s="35" t="inlineStr">
        <is>
          <t>Proyecto:</t>
        </is>
      </c>
      <c r="B6" s="47" t="n"/>
      <c r="C6" s="37" t="inlineStr">
        <is>
          <t>ESTUDIOD GEOTÉCNICO PARA LA COSNTRUCCIÓN DE 4 PISOS Y TECHO CRA 55 No 59 - 49 LOTE "A" BELLO - ANT</t>
        </is>
      </c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6" t="n"/>
      <c r="N6" s="46" t="n"/>
      <c r="O6" s="46" t="n"/>
      <c r="P6" s="46" t="n"/>
      <c r="Q6" s="47" t="n"/>
    </row>
    <row r="7" ht="15" customHeight="1">
      <c r="A7" s="39" t="inlineStr">
        <is>
          <t>Fecha:</t>
        </is>
      </c>
      <c r="B7" s="47" t="n"/>
      <c r="C7" s="42" t="n">
        <v>39379</v>
      </c>
      <c r="D7" s="46" t="n"/>
      <c r="E7" s="47" t="n"/>
      <c r="F7" s="40" t="inlineStr">
        <is>
          <t>Peso del Martinete (Kg):</t>
        </is>
      </c>
      <c r="G7" s="47" t="n"/>
      <c r="H7" s="11" t="n">
        <v>63.5</v>
      </c>
      <c r="I7" s="12" t="n"/>
      <c r="J7" s="43" t="inlineStr">
        <is>
          <t>Método de Cálculo:</t>
        </is>
      </c>
      <c r="K7" s="48" t="n"/>
      <c r="L7" s="44" t="inlineStr">
        <is>
          <t>Gonzales 1999</t>
        </is>
      </c>
      <c r="M7" s="48" t="n"/>
      <c r="N7" s="38" t="inlineStr">
        <is>
          <t>Seed Idriss (Marcuson) (Cn &lt;=2)</t>
        </is>
      </c>
      <c r="O7" s="46" t="n"/>
      <c r="P7" s="46" t="n"/>
      <c r="Q7" s="47" t="n"/>
    </row>
    <row r="8" ht="15" customHeight="1">
      <c r="A8" s="39" t="inlineStr">
        <is>
          <t>Sondeo:</t>
        </is>
      </c>
      <c r="B8" s="47" t="n"/>
      <c r="C8" s="36" t="inlineStr">
        <is>
          <t>P-1</t>
        </is>
      </c>
      <c r="D8" s="47" t="n"/>
      <c r="E8" s="4" t="n"/>
      <c r="F8" s="40" t="inlineStr">
        <is>
          <t>Altura de caída (m):</t>
        </is>
      </c>
      <c r="G8" s="47" t="n"/>
      <c r="H8" s="11" t="n">
        <v>0.76</v>
      </c>
      <c r="I8" s="5" t="n"/>
      <c r="J8" s="49" t="n"/>
      <c r="K8" s="50" t="n"/>
      <c r="L8" s="49" t="n"/>
      <c r="M8" s="50" t="n"/>
      <c r="N8" s="38" t="inlineStr">
        <is>
          <t>Kishida ajustada a e=45%</t>
        </is>
      </c>
      <c r="O8" s="46" t="n"/>
      <c r="P8" s="46" t="n"/>
      <c r="Q8" s="47" t="n"/>
    </row>
    <row r="9">
      <c r="A9" s="6" t="inlineStr">
        <is>
          <t>Z(m)</t>
        </is>
      </c>
      <c r="B9" s="45" t="inlineStr">
        <is>
          <t>g (kN/m3)</t>
        </is>
      </c>
      <c r="C9" s="9" t="inlineStr">
        <is>
          <t>sv (kPa)</t>
        </is>
      </c>
      <c r="D9" s="8" t="inlineStr">
        <is>
          <t>m (kPa)</t>
        </is>
      </c>
      <c r="E9" s="9" t="inlineStr">
        <is>
          <t>s´v (kPa)</t>
        </is>
      </c>
      <c r="F9" s="6" t="inlineStr">
        <is>
          <t>N(campo)</t>
        </is>
      </c>
      <c r="G9" s="6" t="inlineStr">
        <is>
          <t>N1(Confina)</t>
        </is>
      </c>
      <c r="H9" s="6" t="inlineStr">
        <is>
          <t>Rs</t>
        </is>
      </c>
      <c r="I9" s="6" t="n"/>
      <c r="J9" s="6" t="inlineStr">
        <is>
          <t>Cn</t>
        </is>
      </c>
      <c r="K9" s="6" t="inlineStr">
        <is>
          <t>N1(45)</t>
        </is>
      </c>
      <c r="L9" s="9" t="inlineStr">
        <is>
          <t>f'eq (°)</t>
        </is>
      </c>
      <c r="M9" s="9" t="inlineStr">
        <is>
          <t>t (kPa)</t>
        </is>
      </c>
      <c r="N9" s="9" t="inlineStr">
        <is>
          <t>E (MPa)</t>
        </is>
      </c>
      <c r="O9" s="7" t="inlineStr">
        <is>
          <t>C' (kPa)</t>
        </is>
      </c>
      <c r="P9" s="9" t="inlineStr">
        <is>
          <t xml:space="preserve">f' (°) </t>
        </is>
      </c>
      <c r="Q9" s="9" t="inlineStr">
        <is>
          <t>Suelo</t>
        </is>
      </c>
    </row>
    <row r="10" ht="15" customHeight="1">
      <c r="A10" s="1" t="n">
        <v>0.45</v>
      </c>
      <c r="B10" s="3" t="n">
        <v>15</v>
      </c>
      <c r="C10" s="1">
        <f>B10*A10</f>
        <v/>
      </c>
      <c r="D10" s="1">
        <f>IF(A10&lt;=$I$8,(0),10*(A10-$I$8))</f>
        <v/>
      </c>
      <c r="E10" s="1">
        <f>C10-D10</f>
        <v/>
      </c>
      <c r="F10" s="15" t="n">
        <v>13</v>
      </c>
      <c r="G10" s="2">
        <f>F10*J10</f>
        <v/>
      </c>
      <c r="H10" s="1">
        <f>E10/100</f>
        <v/>
      </c>
      <c r="I10" s="1" t="n"/>
      <c r="J10" s="3">
        <f>LOG10(20/H10)/LOG10(20)</f>
        <v/>
      </c>
      <c r="K10" s="2">
        <f>G10*(42/45)</f>
        <v/>
      </c>
      <c r="L10" s="2">
        <f>(15+(POWER((12.5*K10),0.5)))</f>
        <v/>
      </c>
      <c r="M10" s="10">
        <f>E10*TAN(L10*PI()/180)</f>
        <v/>
      </c>
      <c r="N10" s="10">
        <f>0.3*(K10*45/55+6)</f>
        <v/>
      </c>
      <c r="O10" s="27" t="n">
        <v>5</v>
      </c>
      <c r="P10" s="27">
        <f>L10</f>
        <v/>
      </c>
      <c r="Q10" s="30" t="inlineStr">
        <is>
          <t>Piso duro y entresuelo</t>
        </is>
      </c>
    </row>
    <row r="11" ht="15" customHeight="1">
      <c r="A11" s="1" t="n">
        <v>1.45</v>
      </c>
      <c r="B11" s="3" t="n">
        <v>17</v>
      </c>
      <c r="C11" s="1">
        <f>B11*A11</f>
        <v/>
      </c>
      <c r="D11" s="1">
        <f>IF(A11&lt;=$I$8,(0),10*(A11-$I$8))</f>
        <v/>
      </c>
      <c r="E11" s="1">
        <f>C11-D11</f>
        <v/>
      </c>
      <c r="F11" s="29" t="n">
        <v>17</v>
      </c>
      <c r="G11" s="2">
        <f>F11*J11</f>
        <v/>
      </c>
      <c r="H11" s="1">
        <f>E11/100</f>
        <v/>
      </c>
      <c r="I11" s="1" t="n"/>
      <c r="J11" s="3">
        <f>LOG10(20/H11)/LOG10(20)</f>
        <v/>
      </c>
      <c r="K11" s="2">
        <f>G11*(42/45)</f>
        <v/>
      </c>
      <c r="L11" s="2">
        <f>(15+(POWER((12.5*K11),0.5)))</f>
        <v/>
      </c>
      <c r="M11" s="10">
        <f>E11*TAN(L11*PI()/180)</f>
        <v/>
      </c>
      <c r="N11" s="10">
        <f>0.32*(K11*45/55+15)</f>
        <v/>
      </c>
      <c r="O11" s="32" t="n">
        <v>5</v>
      </c>
      <c r="P11" s="27">
        <f>L11</f>
        <v/>
      </c>
      <c r="Q11" s="31" t="inlineStr">
        <is>
          <t>Arena limosa de color café rojizo y amarillento de consistencia media a dura y moderados contenidos de humedad de origen residual de roca</t>
        </is>
      </c>
    </row>
    <row r="12" ht="14.45" customHeight="1">
      <c r="A12" s="1" t="n">
        <v>2.45</v>
      </c>
      <c r="B12" s="3" t="n">
        <v>17</v>
      </c>
      <c r="C12" s="1">
        <f>(A12-A11)*B12+C11</f>
        <v/>
      </c>
      <c r="D12" s="1">
        <f>IF(A12&lt;=$I$8,(0),10*(A12-$I$8))</f>
        <v/>
      </c>
      <c r="E12" s="1">
        <f>C12-D12</f>
        <v/>
      </c>
      <c r="F12" s="28" t="n">
        <v>28</v>
      </c>
      <c r="G12" s="2">
        <f>F12*J12</f>
        <v/>
      </c>
      <c r="H12" s="1">
        <f>E12/100</f>
        <v/>
      </c>
      <c r="I12" s="1" t="n"/>
      <c r="J12" s="3">
        <f>LOG10(20/H12)/LOG10(20)</f>
        <v/>
      </c>
      <c r="K12" s="2">
        <f>G12*(42/45)</f>
        <v/>
      </c>
      <c r="L12" s="2">
        <f>(15+(POWER((12.5*K12),0.5)))</f>
        <v/>
      </c>
      <c r="M12" s="10">
        <f>E12*TAN(L12*PI()/180)</f>
        <v/>
      </c>
      <c r="N12" s="10">
        <f>0.32*(K12*45/55+15)</f>
        <v/>
      </c>
      <c r="O12" s="51" t="n"/>
      <c r="P12" s="27">
        <f>L12</f>
        <v/>
      </c>
      <c r="Q12" s="51" t="n"/>
    </row>
    <row r="13" ht="15" customHeight="1">
      <c r="A13" s="1" t="n">
        <v>3.45</v>
      </c>
      <c r="B13" s="3" t="n">
        <v>17</v>
      </c>
      <c r="C13" s="1">
        <f>(A13-A12)*B13+C12</f>
        <v/>
      </c>
      <c r="D13" s="1">
        <f>IF(A13&lt;=$I$8,(0),10*(A13-$I$8))</f>
        <v/>
      </c>
      <c r="E13" s="1">
        <f>C13-D13</f>
        <v/>
      </c>
      <c r="F13" s="28" t="n">
        <v>35</v>
      </c>
      <c r="G13" s="2">
        <f>F13*J13</f>
        <v/>
      </c>
      <c r="H13" s="1">
        <f>E13/100</f>
        <v/>
      </c>
      <c r="I13" s="1" t="n"/>
      <c r="J13" s="3">
        <f>LOG10(20/H13)/LOG10(20)</f>
        <v/>
      </c>
      <c r="K13" s="2">
        <f>G13*(42/45)</f>
        <v/>
      </c>
      <c r="L13" s="2">
        <f>(15+(POWER((12.5*K13),0.5)))</f>
        <v/>
      </c>
      <c r="M13" s="10">
        <f>E13*TAN(L13*PI()/180)</f>
        <v/>
      </c>
      <c r="N13" s="10">
        <f>0.32*(K13*45/55+15)</f>
        <v/>
      </c>
      <c r="O13" s="51" t="n"/>
      <c r="P13" s="27">
        <f>L13</f>
        <v/>
      </c>
      <c r="Q13" s="51" t="n"/>
    </row>
    <row r="14">
      <c r="A14" s="1" t="n">
        <v>4.45</v>
      </c>
      <c r="B14" s="3" t="n">
        <v>17</v>
      </c>
      <c r="C14" s="1">
        <f>(A14-A13)*B14+C13</f>
        <v/>
      </c>
      <c r="D14" s="1">
        <f>IF(A14&lt;=$I$8,(0),10*(A14-$I$8))</f>
        <v/>
      </c>
      <c r="E14" s="1">
        <f>C14-D14</f>
        <v/>
      </c>
      <c r="F14" s="28" t="n">
        <v>40</v>
      </c>
      <c r="G14" s="2">
        <f>F14*J14</f>
        <v/>
      </c>
      <c r="H14" s="1">
        <f>E14/100</f>
        <v/>
      </c>
      <c r="I14" s="1" t="n"/>
      <c r="J14" s="3">
        <f>LOG10(20/H14)/LOG10(20)</f>
        <v/>
      </c>
      <c r="K14" s="2">
        <f>G14*(42/45)</f>
        <v/>
      </c>
      <c r="L14" s="2">
        <f>(15+(POWER((12.5*K14),0.5)))</f>
        <v/>
      </c>
      <c r="M14" s="10">
        <f>E14*TAN(L14*PI()/180)</f>
        <v/>
      </c>
      <c r="N14" s="10">
        <f>0.32*(K14*45/55+15)</f>
        <v/>
      </c>
      <c r="O14" s="51" t="n"/>
      <c r="P14" s="27">
        <f>L14</f>
        <v/>
      </c>
      <c r="Q14" s="51" t="n"/>
      <c r="S14" t="n">
        <v>0.217</v>
      </c>
    </row>
    <row r="15" ht="14.45" customHeight="1">
      <c r="A15" s="1" t="n">
        <v>5.45</v>
      </c>
      <c r="B15" s="3" t="n">
        <v>17</v>
      </c>
      <c r="C15" s="1">
        <f>(A15-A14)*B15+C14</f>
        <v/>
      </c>
      <c r="D15" s="1">
        <f>IF(A15&lt;=$I$8,(0),10*(A15-$I$8))</f>
        <v/>
      </c>
      <c r="E15" s="1">
        <f>C15-D15</f>
        <v/>
      </c>
      <c r="F15" s="28" t="n">
        <v>46</v>
      </c>
      <c r="G15" s="2">
        <f>F15*J15</f>
        <v/>
      </c>
      <c r="H15" s="14">
        <f>E15/100</f>
        <v/>
      </c>
      <c r="I15" s="1" t="n"/>
      <c r="J15" s="3">
        <f>LOG10(20/H15)/LOG10(20)</f>
        <v/>
      </c>
      <c r="K15" s="2">
        <f>G15*(42/45)</f>
        <v/>
      </c>
      <c r="L15" s="2">
        <f>(15+(POWER((12.5*K15),0.5)))</f>
        <v/>
      </c>
      <c r="M15" s="10">
        <f>E15*TAN(L15*PI()/180)</f>
        <v/>
      </c>
      <c r="N15" s="10">
        <f>0.32*(K15*45/55+15)</f>
        <v/>
      </c>
      <c r="O15" s="51" t="n"/>
      <c r="P15" s="27">
        <f>L15</f>
        <v/>
      </c>
      <c r="Q15" s="51" t="n"/>
    </row>
    <row r="16">
      <c r="A16" s="1" t="n">
        <v>6.45</v>
      </c>
      <c r="B16" s="3" t="n">
        <v>17</v>
      </c>
      <c r="C16" s="1">
        <f>(A16-A15)*B16+C15</f>
        <v/>
      </c>
      <c r="D16" s="1">
        <f>IF(A16&lt;=$I$8,(0),10*(A16-$I$8))</f>
        <v/>
      </c>
      <c r="E16" s="1">
        <f>C16-D16</f>
        <v/>
      </c>
      <c r="F16" s="28" t="n">
        <v>45</v>
      </c>
      <c r="G16" s="2">
        <f>F16*J16</f>
        <v/>
      </c>
      <c r="H16" s="14">
        <f>E16/100</f>
        <v/>
      </c>
      <c r="I16" s="1" t="n"/>
      <c r="J16" s="3">
        <f>LOG10(20/H16)/LOG10(20)</f>
        <v/>
      </c>
      <c r="K16" s="2">
        <f>G16*(42/45)</f>
        <v/>
      </c>
      <c r="L16" s="2">
        <f>(15+(POWER((12.5*K16),0.5)))</f>
        <v/>
      </c>
      <c r="M16" s="10">
        <f>E16*TAN(L16*PI()/180)</f>
        <v/>
      </c>
      <c r="N16" s="10">
        <f>0.32*(K16*45/55+15)</f>
        <v/>
      </c>
      <c r="O16" s="52" t="n"/>
      <c r="P16" s="27">
        <f>L16</f>
        <v/>
      </c>
      <c r="Q16" s="51" t="n"/>
    </row>
    <row r="17">
      <c r="A17" s="1" t="n">
        <v>7.45</v>
      </c>
      <c r="B17" s="3" t="n">
        <v>18</v>
      </c>
      <c r="C17" s="1">
        <f>(A17-A16)*B17+C16</f>
        <v/>
      </c>
      <c r="D17" s="1">
        <f>IF(A17&lt;=$I$8,(0),10*(A17-$I$8))</f>
        <v/>
      </c>
      <c r="E17" s="1">
        <f>C17-D17</f>
        <v/>
      </c>
      <c r="F17" s="28" t="n">
        <v>49</v>
      </c>
      <c r="G17" s="2">
        <f>F17*J17</f>
        <v/>
      </c>
      <c r="H17" s="14">
        <f>E17/100</f>
        <v/>
      </c>
      <c r="I17" s="1" t="n"/>
      <c r="J17" s="3">
        <f>LOG10(20/H17)/LOG10(20)</f>
        <v/>
      </c>
      <c r="K17" s="2">
        <f>G17*(42/45)</f>
        <v/>
      </c>
      <c r="L17" s="2">
        <f>(15+(POWER((12.5*K17),0.5)))</f>
        <v/>
      </c>
      <c r="M17" s="10">
        <f>E17*TAN(L17*PI()/180)</f>
        <v/>
      </c>
      <c r="N17" s="10">
        <f>0.32*(K17*45/55+15)</f>
        <v/>
      </c>
      <c r="O17" s="32" t="n"/>
      <c r="P17" s="27">
        <f>L17</f>
        <v/>
      </c>
      <c r="Q17" s="51" t="n"/>
    </row>
    <row r="18">
      <c r="A18" s="1" t="n">
        <v>8.449999999999999</v>
      </c>
      <c r="B18" s="3" t="n">
        <v>18</v>
      </c>
      <c r="C18" s="1">
        <f>(A18-A17)*B18+C17</f>
        <v/>
      </c>
      <c r="D18" s="1">
        <f>IF(A18&lt;=$I$8,(0),10*(A18-$I$8))</f>
        <v/>
      </c>
      <c r="E18" s="1">
        <f>C18-D18</f>
        <v/>
      </c>
      <c r="F18" s="28" t="n">
        <v>50</v>
      </c>
      <c r="G18" s="2">
        <f>F18*J18</f>
        <v/>
      </c>
      <c r="H18" s="14">
        <f>E18/100</f>
        <v/>
      </c>
      <c r="I18" s="1" t="n"/>
      <c r="J18" s="3">
        <f>LOG10(20/H18)/LOG10(20)</f>
        <v/>
      </c>
      <c r="K18" s="2">
        <f>G18*(42/45)</f>
        <v/>
      </c>
      <c r="L18" s="2">
        <f>(15+(POWER((12.5*K18),0.5)))</f>
        <v/>
      </c>
      <c r="M18" s="10">
        <f>E18*TAN(L18*PI()/180)</f>
        <v/>
      </c>
      <c r="N18" s="10">
        <f>0.32*(K18*45/55+15)</f>
        <v/>
      </c>
      <c r="O18" s="32" t="n"/>
      <c r="P18" s="27">
        <f>L18</f>
        <v/>
      </c>
      <c r="Q18" s="51" t="n"/>
    </row>
    <row r="19">
      <c r="A19" s="1" t="n">
        <v>9.449999999999999</v>
      </c>
      <c r="B19" s="3" t="n">
        <v>18</v>
      </c>
      <c r="C19" s="1">
        <f>(A19-A18)*B19+C18</f>
        <v/>
      </c>
      <c r="D19" s="1">
        <f>IF(A19&lt;=$I$8,(0),10*(A19-$I$8))</f>
        <v/>
      </c>
      <c r="E19" s="1">
        <f>C19-D19</f>
        <v/>
      </c>
      <c r="F19" s="28" t="n">
        <v>53</v>
      </c>
      <c r="G19" s="2">
        <f>F19*J19</f>
        <v/>
      </c>
      <c r="H19" s="14">
        <f>E19/100</f>
        <v/>
      </c>
      <c r="I19" s="1" t="n"/>
      <c r="J19" s="3">
        <f>LOG10(20/H19)/LOG10(20)</f>
        <v/>
      </c>
      <c r="K19" s="2">
        <f>G19*(42/45)</f>
        <v/>
      </c>
      <c r="L19" s="2">
        <f>(15+(POWER((12.5*K19),0.5)))</f>
        <v/>
      </c>
      <c r="M19" s="10">
        <f>E19*TAN(L19*PI()/180)</f>
        <v/>
      </c>
      <c r="N19" s="10">
        <f>0.32*(K19*45/55+15)</f>
        <v/>
      </c>
      <c r="O19" s="32" t="n"/>
      <c r="P19" s="27">
        <f>L19</f>
        <v/>
      </c>
      <c r="Q19" s="51" t="n"/>
    </row>
    <row r="20">
      <c r="A20" s="1" t="n">
        <v>10.45</v>
      </c>
      <c r="B20" s="3" t="n">
        <v>18</v>
      </c>
      <c r="C20" s="1">
        <f>(A20-A19)*B20+C19</f>
        <v/>
      </c>
      <c r="D20" s="1">
        <f>IF(A20&lt;=$I$8,(0),10*(A20-$I$8))</f>
        <v/>
      </c>
      <c r="E20" s="1">
        <f>C20-D20</f>
        <v/>
      </c>
      <c r="F20" s="28" t="n">
        <v>55</v>
      </c>
      <c r="G20" s="2">
        <f>F20*J20</f>
        <v/>
      </c>
      <c r="H20" s="14">
        <f>E20/100</f>
        <v/>
      </c>
      <c r="I20" s="1" t="n"/>
      <c r="J20" s="3">
        <f>LOG10(20/H20)/LOG10(20)</f>
        <v/>
      </c>
      <c r="K20" s="2">
        <f>G20*(42/45)</f>
        <v/>
      </c>
      <c r="L20" s="2">
        <f>(15+(POWER((12.5*K20),0.5)))</f>
        <v/>
      </c>
      <c r="M20" s="10">
        <f>E20*TAN(L20*PI()/180)</f>
        <v/>
      </c>
      <c r="N20" s="10">
        <f>0.32*(K20*45/55+15)</f>
        <v/>
      </c>
      <c r="O20" s="32" t="n"/>
      <c r="P20" s="27">
        <f>L20</f>
        <v/>
      </c>
      <c r="Q20" s="51" t="n"/>
    </row>
    <row r="21">
      <c r="A21" s="1" t="n">
        <v>11.45</v>
      </c>
      <c r="B21" s="3" t="n">
        <v>18</v>
      </c>
      <c r="C21" s="1">
        <f>(A21-A20)*B21+C20</f>
        <v/>
      </c>
      <c r="D21" s="1">
        <f>IF(A21&lt;=$I$8,(0),10*(A21-$I$8))</f>
        <v/>
      </c>
      <c r="E21" s="1">
        <f>C21-D21</f>
        <v/>
      </c>
      <c r="F21" s="28" t="n">
        <v>58</v>
      </c>
      <c r="G21" s="2">
        <f>F21*J21</f>
        <v/>
      </c>
      <c r="H21" s="14">
        <f>E21/100</f>
        <v/>
      </c>
      <c r="I21" s="1" t="n"/>
      <c r="J21" s="3">
        <f>LOG10(20/H21)/LOG10(20)</f>
        <v/>
      </c>
      <c r="K21" s="2">
        <f>G21*(42/45)</f>
        <v/>
      </c>
      <c r="L21" s="2">
        <f>(15+(POWER((12.5*K21),0.5)))</f>
        <v/>
      </c>
      <c r="M21" s="10">
        <f>E21*TAN(L21*PI()/180)</f>
        <v/>
      </c>
      <c r="N21" s="10">
        <f>0.32*(K21*45/55+15)</f>
        <v/>
      </c>
      <c r="O21" s="32" t="n"/>
      <c r="P21" s="27">
        <f>L21</f>
        <v/>
      </c>
      <c r="Q21" s="51" t="n"/>
    </row>
    <row r="22">
      <c r="A22" s="1" t="n">
        <v>12.45</v>
      </c>
      <c r="B22" s="3" t="n">
        <v>18</v>
      </c>
      <c r="C22" s="1">
        <f>(A22-A21)*B22+C21</f>
        <v/>
      </c>
      <c r="D22" s="1">
        <f>IF(A22&lt;=$I$8,(0),10*(A22-$I$8))</f>
        <v/>
      </c>
      <c r="E22" s="1">
        <f>C22-D22</f>
        <v/>
      </c>
      <c r="F22" s="28" t="n">
        <v>60</v>
      </c>
      <c r="G22" s="2">
        <f>F22*J22</f>
        <v/>
      </c>
      <c r="H22" s="14">
        <f>E22/100</f>
        <v/>
      </c>
      <c r="I22" s="1" t="n"/>
      <c r="J22" s="3">
        <f>LOG10(20/H22)/LOG10(20)</f>
        <v/>
      </c>
      <c r="K22" s="2">
        <f>G22*(42/45)</f>
        <v/>
      </c>
      <c r="L22" s="2">
        <f>(15+(POWER((12.5*K22),0.5)))</f>
        <v/>
      </c>
      <c r="M22" s="10">
        <f>E22*TAN(L22*PI()/180)</f>
        <v/>
      </c>
      <c r="N22" s="10">
        <f>0.32*(K22*45/55+15)</f>
        <v/>
      </c>
      <c r="O22" s="32" t="n"/>
      <c r="P22" s="27">
        <f>L22</f>
        <v/>
      </c>
      <c r="Q22" s="51" t="n"/>
    </row>
    <row r="23">
      <c r="A23" s="1" t="n">
        <v>13.45</v>
      </c>
      <c r="B23" s="3" t="n">
        <v>18</v>
      </c>
      <c r="C23" s="1">
        <f>(A23-A22)*B23+C22</f>
        <v/>
      </c>
      <c r="D23" s="1">
        <f>IF(A23&lt;=$I$8,(0),10*(A23-$I$8))</f>
        <v/>
      </c>
      <c r="E23" s="1">
        <f>C23-D23</f>
        <v/>
      </c>
      <c r="F23" s="28" t="n">
        <v>63</v>
      </c>
      <c r="G23" s="2">
        <f>F23*J23</f>
        <v/>
      </c>
      <c r="H23" s="14">
        <f>E23/100</f>
        <v/>
      </c>
      <c r="I23" s="1" t="n"/>
      <c r="J23" s="3">
        <f>LOG10(20/H23)/LOG10(20)</f>
        <v/>
      </c>
      <c r="K23" s="2">
        <f>G23*(42/45)</f>
        <v/>
      </c>
      <c r="L23" s="2">
        <f>(15+(POWER((12.5*K23),0.5)))</f>
        <v/>
      </c>
      <c r="M23" s="10">
        <f>E23*TAN(L23*PI()/180)</f>
        <v/>
      </c>
      <c r="N23" s="10">
        <f>0.32*(K23*45/55+15)</f>
        <v/>
      </c>
      <c r="O23" s="32" t="n"/>
      <c r="P23" s="27">
        <f>L23</f>
        <v/>
      </c>
      <c r="Q23" s="51" t="n"/>
    </row>
    <row r="24">
      <c r="A24" s="1" t="n">
        <v>14.45</v>
      </c>
      <c r="B24" s="3" t="n">
        <v>18</v>
      </c>
      <c r="C24" s="1">
        <f>(A24-A23)*B24+C23</f>
        <v/>
      </c>
      <c r="D24" s="1">
        <f>IF(A24&lt;=$I$8,(0),10*(A24-$I$8))</f>
        <v/>
      </c>
      <c r="E24" s="1">
        <f>C24-D24</f>
        <v/>
      </c>
      <c r="F24" s="28" t="n">
        <v>65</v>
      </c>
      <c r="G24" s="2">
        <f>F24*J24</f>
        <v/>
      </c>
      <c r="H24" s="14">
        <f>E24/100</f>
        <v/>
      </c>
      <c r="I24" s="1" t="n"/>
      <c r="J24" s="3">
        <f>LOG10(20/H24)/LOG10(20)</f>
        <v/>
      </c>
      <c r="K24" s="2">
        <f>G24*(42/45)</f>
        <v/>
      </c>
      <c r="L24" s="2">
        <f>(15+(POWER((12.5*K24),0.5)))</f>
        <v/>
      </c>
      <c r="M24" s="10">
        <f>E24*TAN(L24*PI()/180)</f>
        <v/>
      </c>
      <c r="N24" s="10">
        <f>0.32*(K24*45/55+15)</f>
        <v/>
      </c>
      <c r="O24" s="32" t="n"/>
      <c r="P24" s="27">
        <f>L24</f>
        <v/>
      </c>
      <c r="Q24" s="51" t="n"/>
    </row>
    <row r="25">
      <c r="A25" s="1" t="n">
        <v>15.45</v>
      </c>
      <c r="B25" s="3" t="n">
        <v>18</v>
      </c>
      <c r="C25" s="1">
        <f>(A25-A24)*B25+C24</f>
        <v/>
      </c>
      <c r="D25" s="1">
        <f>IF(A25&lt;=$I$8,(0),10*(A25-$I$8))</f>
        <v/>
      </c>
      <c r="E25" s="1">
        <f>C25-D25</f>
        <v/>
      </c>
      <c r="F25" s="28" t="n">
        <v>65</v>
      </c>
      <c r="G25" s="2">
        <f>F25*J25</f>
        <v/>
      </c>
      <c r="H25" s="14">
        <f>E25/100</f>
        <v/>
      </c>
      <c r="I25" s="1" t="n"/>
      <c r="J25" s="3">
        <f>LOG10(20/H25)/LOG10(20)</f>
        <v/>
      </c>
      <c r="K25" s="2">
        <f>G25*(42/45)</f>
        <v/>
      </c>
      <c r="L25" s="2">
        <f>(15+(POWER((12.5*K25),0.5)))</f>
        <v/>
      </c>
      <c r="M25" s="10">
        <f>E25*TAN(L25*PI()/180)</f>
        <v/>
      </c>
      <c r="N25" s="10">
        <f>0.32*(K25*45/55+15)</f>
        <v/>
      </c>
      <c r="O25" s="32" t="n"/>
      <c r="P25" s="27">
        <f>L25</f>
        <v/>
      </c>
      <c r="Q25" s="51" t="n"/>
    </row>
    <row r="26" ht="15" customHeight="1">
      <c r="A26" s="1" t="n">
        <v>16.45</v>
      </c>
      <c r="B26" s="3" t="n">
        <v>18</v>
      </c>
      <c r="C26" s="1">
        <f>(A26-A25)*B26+C25</f>
        <v/>
      </c>
      <c r="D26" s="1">
        <f>IF(A26&lt;=$I$8,(0),10*(A26-$I$8))</f>
        <v/>
      </c>
      <c r="E26" s="1">
        <f>C26-D26</f>
        <v/>
      </c>
      <c r="F26" s="28" t="n">
        <v>65</v>
      </c>
      <c r="G26" s="2">
        <f>F26*J26</f>
        <v/>
      </c>
      <c r="H26" s="14">
        <f>E26/100</f>
        <v/>
      </c>
      <c r="I26" s="1" t="n"/>
      <c r="J26" s="3">
        <f>LOG10(20/H26)/LOG10(20)</f>
        <v/>
      </c>
      <c r="K26" s="2">
        <f>G26*(42/45)</f>
        <v/>
      </c>
      <c r="L26" s="2">
        <f>(15+(POWER((12.5*K26),0.5)))</f>
        <v/>
      </c>
      <c r="M26" s="10">
        <f>E26*TAN(L26*PI()/180)</f>
        <v/>
      </c>
      <c r="N26" s="10">
        <f>0.32*(K26*45/55+15)</f>
        <v/>
      </c>
      <c r="O26" s="24" t="n"/>
      <c r="P26" s="27">
        <f>L26</f>
        <v/>
      </c>
      <c r="Q26" s="51" t="n"/>
    </row>
    <row r="27">
      <c r="A27" s="1" t="n">
        <v>17.45</v>
      </c>
      <c r="B27" s="3" t="n">
        <v>18</v>
      </c>
      <c r="C27" s="1">
        <f>(A27-A26)*B27+C26</f>
        <v/>
      </c>
      <c r="D27" s="1">
        <f>IF(A27&lt;=$I$8,(0),10*(A27-$I$8))</f>
        <v/>
      </c>
      <c r="E27" s="1">
        <f>C27-D27</f>
        <v/>
      </c>
      <c r="F27" s="28" t="n">
        <v>65</v>
      </c>
      <c r="G27" s="2">
        <f>F27*J27</f>
        <v/>
      </c>
      <c r="H27" s="14">
        <f>E27/100</f>
        <v/>
      </c>
      <c r="I27" s="1" t="n"/>
      <c r="J27" s="3">
        <f>LOG10(20/H27)/LOG10(20)</f>
        <v/>
      </c>
      <c r="K27" s="2">
        <f>G27*(42/45)</f>
        <v/>
      </c>
      <c r="L27" s="2">
        <f>(15+(POWER((12.5*K27),0.5)))</f>
        <v/>
      </c>
      <c r="M27" s="10">
        <f>E27*TAN(L27*PI()/180)</f>
        <v/>
      </c>
      <c r="N27" s="10">
        <f>0.32*(K27*45/55+15)</f>
        <v/>
      </c>
      <c r="O27" s="24" t="n"/>
      <c r="P27" s="27">
        <f>L27</f>
        <v/>
      </c>
      <c r="Q27" s="51" t="n"/>
    </row>
    <row r="28">
      <c r="A28" s="1" t="n">
        <v>18.45</v>
      </c>
      <c r="B28" s="3" t="n">
        <v>18</v>
      </c>
      <c r="C28" s="1">
        <f>(A28-A27)*B28+C27</f>
        <v/>
      </c>
      <c r="D28" s="1">
        <f>IF(A28&lt;=$I$8,(0),10*(A28-$I$8))</f>
        <v/>
      </c>
      <c r="E28" s="1">
        <f>C28-D28</f>
        <v/>
      </c>
      <c r="F28" s="28" t="n">
        <v>65</v>
      </c>
      <c r="G28" s="2">
        <f>F28*J28</f>
        <v/>
      </c>
      <c r="H28" s="14">
        <f>E28/100</f>
        <v/>
      </c>
      <c r="I28" s="1" t="n"/>
      <c r="J28" s="3">
        <f>LOG10(20/H28)/LOG10(20)</f>
        <v/>
      </c>
      <c r="K28" s="2">
        <f>G28*(42/45)</f>
        <v/>
      </c>
      <c r="L28" s="2">
        <f>(15+(POWER((12.5*K28),0.5)))</f>
        <v/>
      </c>
      <c r="M28" s="10">
        <f>E28*TAN(L28*PI()/180)</f>
        <v/>
      </c>
      <c r="N28" s="10">
        <f>0.32*(K28*45/55+15)</f>
        <v/>
      </c>
      <c r="O28" s="24" t="n"/>
      <c r="P28" s="27">
        <f>L28</f>
        <v/>
      </c>
      <c r="Q28" s="51" t="n"/>
    </row>
    <row r="29">
      <c r="A29" s="1" t="n">
        <v>19.45</v>
      </c>
      <c r="B29" s="3" t="n">
        <v>18</v>
      </c>
      <c r="C29" s="1">
        <f>(A29-A28)*B29+C28</f>
        <v/>
      </c>
      <c r="D29" s="1">
        <f>IF(A29&lt;=$I$8,(0),10*(A29-$I$8))</f>
        <v/>
      </c>
      <c r="E29" s="1">
        <f>C29-D29</f>
        <v/>
      </c>
      <c r="F29" s="28" t="n">
        <v>65</v>
      </c>
      <c r="G29" s="2">
        <f>F29*J29</f>
        <v/>
      </c>
      <c r="H29" s="14">
        <f>E29/100</f>
        <v/>
      </c>
      <c r="I29" s="1" t="n"/>
      <c r="J29" s="3">
        <f>LOG10(20/H29)/LOG10(20)</f>
        <v/>
      </c>
      <c r="K29" s="2">
        <f>G29*(42/45)</f>
        <v/>
      </c>
      <c r="L29" s="2">
        <f>(15+(POWER((12.5*K29),0.5)))</f>
        <v/>
      </c>
      <c r="M29" s="10">
        <f>E29*TAN(L29*PI()/180)</f>
        <v/>
      </c>
      <c r="N29" s="10">
        <f>0.32*(K29*45/55+15)</f>
        <v/>
      </c>
      <c r="O29" s="24" t="n"/>
      <c r="P29" s="27">
        <f>L29</f>
        <v/>
      </c>
      <c r="Q29" s="51" t="n"/>
    </row>
    <row r="30">
      <c r="A30" s="1" t="n">
        <v>20.45</v>
      </c>
      <c r="B30" s="3" t="n">
        <v>18</v>
      </c>
      <c r="C30" s="1">
        <f>(A30-A29)*B30+C29</f>
        <v/>
      </c>
      <c r="D30" s="1">
        <f>IF(A30&lt;=$I$8,(0),10*(A30-$I$8))</f>
        <v/>
      </c>
      <c r="E30" s="1">
        <f>C30-D30</f>
        <v/>
      </c>
      <c r="F30" s="28" t="n">
        <v>65</v>
      </c>
      <c r="G30" s="2">
        <f>F30*J30</f>
        <v/>
      </c>
      <c r="H30" s="14">
        <f>E30/100</f>
        <v/>
      </c>
      <c r="I30" s="1" t="n"/>
      <c r="J30" s="3">
        <f>LOG10(20/H30)/LOG10(20)</f>
        <v/>
      </c>
      <c r="K30" s="2">
        <f>G30*(42/45)</f>
        <v/>
      </c>
      <c r="L30" s="2">
        <f>(15+(POWER((12.5*K30),0.5)))</f>
        <v/>
      </c>
      <c r="M30" s="10">
        <f>E30*TAN(L30*PI()/180)</f>
        <v/>
      </c>
      <c r="N30" s="10">
        <f>0.32*(K30*45/55+15)</f>
        <v/>
      </c>
      <c r="O30" s="24" t="n"/>
      <c r="P30" s="27">
        <f>L30</f>
        <v/>
      </c>
      <c r="Q30" s="51" t="n"/>
    </row>
    <row r="31">
      <c r="A31" s="1" t="n">
        <v>21.45</v>
      </c>
      <c r="B31" s="3" t="n">
        <v>18</v>
      </c>
      <c r="C31" s="1">
        <f>(A31-A30)*B31+C30</f>
        <v/>
      </c>
      <c r="D31" s="1">
        <f>IF(A31&lt;=$I$8,(0),10*(A31-$I$8))</f>
        <v/>
      </c>
      <c r="E31" s="1">
        <f>C31-D31</f>
        <v/>
      </c>
      <c r="F31" s="28" t="n">
        <v>65</v>
      </c>
      <c r="G31" s="2">
        <f>F31*J31</f>
        <v/>
      </c>
      <c r="H31" s="14">
        <f>E31/100</f>
        <v/>
      </c>
      <c r="I31" s="1" t="n"/>
      <c r="J31" s="3">
        <f>LOG10(20/H31)/LOG10(20)</f>
        <v/>
      </c>
      <c r="K31" s="2">
        <f>G31*(42/45)</f>
        <v/>
      </c>
      <c r="L31" s="2">
        <f>(15+(POWER((12.5*K31),0.5)))</f>
        <v/>
      </c>
      <c r="M31" s="10">
        <f>E31*TAN(L31*PI()/180)</f>
        <v/>
      </c>
      <c r="N31" s="10">
        <f>0.32*(K31*45/55+15)</f>
        <v/>
      </c>
      <c r="O31" s="24" t="n"/>
      <c r="P31" s="27">
        <f>L31</f>
        <v/>
      </c>
      <c r="Q31" s="51" t="n"/>
    </row>
    <row r="32">
      <c r="A32" s="1" t="n">
        <v>22.45</v>
      </c>
      <c r="B32" s="3" t="n">
        <v>18</v>
      </c>
      <c r="C32" s="1">
        <f>(A32-A31)*B32+C31</f>
        <v/>
      </c>
      <c r="D32" s="1">
        <f>IF(A32&lt;=$I$8,(0),10*(A32-$I$8))</f>
        <v/>
      </c>
      <c r="E32" s="1">
        <f>C32-D32</f>
        <v/>
      </c>
      <c r="F32" s="28" t="n">
        <v>65</v>
      </c>
      <c r="G32" s="2">
        <f>F32*J32</f>
        <v/>
      </c>
      <c r="H32" s="14">
        <f>E32/100</f>
        <v/>
      </c>
      <c r="I32" s="1" t="n"/>
      <c r="J32" s="3">
        <f>LOG10(20/H32)/LOG10(20)</f>
        <v/>
      </c>
      <c r="K32" s="2">
        <f>G32*(42/45)</f>
        <v/>
      </c>
      <c r="L32" s="2">
        <f>(15+(POWER((12.5*K32),0.5)))</f>
        <v/>
      </c>
      <c r="M32" s="10">
        <f>E32*TAN(L32*PI()/180)</f>
        <v/>
      </c>
      <c r="N32" s="10">
        <f>0.32*(K32*45/55+15)</f>
        <v/>
      </c>
      <c r="O32" s="24" t="n"/>
      <c r="P32" s="27">
        <f>L32</f>
        <v/>
      </c>
      <c r="Q32" s="51" t="n"/>
    </row>
    <row r="33">
      <c r="A33" s="1" t="n">
        <v>23.45</v>
      </c>
      <c r="B33" s="3" t="n">
        <v>18</v>
      </c>
      <c r="C33" s="1">
        <f>(A33-A32)*B33+C32</f>
        <v/>
      </c>
      <c r="D33" s="1">
        <f>IF(A33&lt;=$I$8,(0),10*(A33-$I$8))</f>
        <v/>
      </c>
      <c r="E33" s="1">
        <f>C33-D33</f>
        <v/>
      </c>
      <c r="F33" s="28" t="n">
        <v>65</v>
      </c>
      <c r="G33" s="2">
        <f>F33*J33</f>
        <v/>
      </c>
      <c r="H33" s="14">
        <f>E33/100</f>
        <v/>
      </c>
      <c r="I33" s="1" t="n"/>
      <c r="J33" s="3">
        <f>LOG10(20/H33)/LOG10(20)</f>
        <v/>
      </c>
      <c r="K33" s="2">
        <f>G33*(42/45)</f>
        <v/>
      </c>
      <c r="L33" s="2">
        <f>(15+(POWER((12.5*K33),0.5)))</f>
        <v/>
      </c>
      <c r="M33" s="10">
        <f>E33*TAN(L33*PI()/180)</f>
        <v/>
      </c>
      <c r="N33" s="10">
        <f>0.32*(K33*45/55+15)</f>
        <v/>
      </c>
      <c r="O33" s="24" t="n"/>
      <c r="P33" s="27">
        <f>L33</f>
        <v/>
      </c>
      <c r="Q33" s="51" t="n"/>
    </row>
    <row r="34">
      <c r="A34" s="1" t="n">
        <v>24.45</v>
      </c>
      <c r="B34" s="3" t="n">
        <v>18</v>
      </c>
      <c r="C34" s="1">
        <f>(A34-A33)*B34+C33</f>
        <v/>
      </c>
      <c r="D34" s="1">
        <f>IF(A34&lt;=$I$8,(0),10*(A34-$I$8))</f>
        <v/>
      </c>
      <c r="E34" s="1">
        <f>C34-D34</f>
        <v/>
      </c>
      <c r="F34" s="28" t="n">
        <v>65</v>
      </c>
      <c r="G34" s="2">
        <f>F34*J34</f>
        <v/>
      </c>
      <c r="H34" s="14">
        <f>E34/100</f>
        <v/>
      </c>
      <c r="I34" s="1" t="n"/>
      <c r="J34" s="3">
        <f>LOG10(20/H34)/LOG10(20)</f>
        <v/>
      </c>
      <c r="K34" s="2">
        <f>G34*(42/45)</f>
        <v/>
      </c>
      <c r="L34" s="2">
        <f>(15+(POWER((12.5*K34),0.5)))</f>
        <v/>
      </c>
      <c r="M34" s="10">
        <f>E34*TAN(L34*PI()/180)</f>
        <v/>
      </c>
      <c r="N34" s="10">
        <f>0.32*(K34*45/55+15)</f>
        <v/>
      </c>
      <c r="O34" s="24" t="n"/>
      <c r="P34" s="27">
        <f>L34</f>
        <v/>
      </c>
      <c r="Q34" s="51" t="n"/>
    </row>
    <row r="35">
      <c r="A35" s="1" t="n">
        <v>25.45</v>
      </c>
      <c r="B35" s="3" t="n">
        <v>18</v>
      </c>
      <c r="C35" s="1">
        <f>(A35-A34)*B35+C34</f>
        <v/>
      </c>
      <c r="D35" s="1">
        <f>IF(A35&lt;=$I$8,(0),10*(A35-$I$8))</f>
        <v/>
      </c>
      <c r="E35" s="1">
        <f>C35-D35</f>
        <v/>
      </c>
      <c r="F35" s="28" t="n">
        <v>65</v>
      </c>
      <c r="G35" s="2">
        <f>F35*J35</f>
        <v/>
      </c>
      <c r="H35" s="14">
        <f>E35/100</f>
        <v/>
      </c>
      <c r="I35" s="1" t="n"/>
      <c r="J35" s="3">
        <f>LOG10(20/H35)/LOG10(20)</f>
        <v/>
      </c>
      <c r="K35" s="2">
        <f>G35*(42/45)</f>
        <v/>
      </c>
      <c r="L35" s="2">
        <f>(15+(POWER((12.5*K35),0.5)))</f>
        <v/>
      </c>
      <c r="M35" s="10">
        <f>E35*TAN(L35*PI()/180)</f>
        <v/>
      </c>
      <c r="N35" s="10">
        <f>0.32*(K35*45/55+15)</f>
        <v/>
      </c>
      <c r="O35" s="24" t="n"/>
      <c r="P35" s="27">
        <f>L35</f>
        <v/>
      </c>
      <c r="Q35" s="52" t="n"/>
    </row>
    <row r="36">
      <c r="A36" s="16" t="n"/>
      <c r="B36" s="19" t="n"/>
      <c r="C36" s="16" t="n"/>
      <c r="D36" s="16" t="n"/>
      <c r="E36" s="16" t="n"/>
      <c r="F36" s="20" t="n"/>
      <c r="G36" s="21" t="n"/>
      <c r="H36" s="22" t="n"/>
      <c r="I36" s="16" t="n"/>
      <c r="J36" s="19" t="n"/>
      <c r="K36" s="21" t="n"/>
      <c r="L36" s="21" t="n"/>
      <c r="M36" s="23" t="n"/>
      <c r="N36" s="23" t="n"/>
      <c r="O36" s="24" t="n"/>
      <c r="P36" s="25" t="n"/>
      <c r="Q36" s="26" t="n"/>
    </row>
    <row r="37">
      <c r="A37" s="16" t="n"/>
      <c r="B37" s="19" t="n"/>
      <c r="C37" s="16" t="n"/>
      <c r="D37" s="16" t="n"/>
      <c r="E37" s="16" t="n"/>
      <c r="F37" s="20" t="n"/>
      <c r="G37" s="21" t="n"/>
      <c r="H37" s="22" t="n"/>
      <c r="I37" s="16" t="n"/>
      <c r="J37" s="19" t="n"/>
      <c r="K37" s="21" t="n"/>
      <c r="L37" s="21" t="n"/>
      <c r="M37" s="23" t="n"/>
      <c r="N37" s="23" t="n"/>
      <c r="O37" s="24" t="n"/>
      <c r="P37" s="25" t="n"/>
      <c r="Q37" s="26" t="n"/>
    </row>
    <row r="38">
      <c r="A38" s="16" t="n"/>
      <c r="B38" s="19" t="n"/>
      <c r="C38" s="16" t="n"/>
      <c r="D38" s="16" t="n"/>
      <c r="E38" s="16" t="n"/>
      <c r="F38" s="20" t="n"/>
      <c r="G38" s="21" t="n"/>
      <c r="H38" s="22" t="n"/>
      <c r="I38" s="16" t="n"/>
      <c r="J38" s="19" t="n"/>
      <c r="K38" s="21" t="n"/>
      <c r="L38" s="21" t="n"/>
      <c r="M38" s="23" t="n"/>
      <c r="N38" s="23" t="n"/>
      <c r="O38" s="24" t="n"/>
      <c r="P38" s="25" t="n"/>
      <c r="Q38" s="26" t="n"/>
    </row>
    <row r="39">
      <c r="A39" s="16" t="n"/>
      <c r="B39" s="19" t="n"/>
      <c r="C39" s="16" t="n"/>
      <c r="D39" s="16" t="n"/>
      <c r="E39" s="16" t="n"/>
      <c r="F39" s="20" t="n"/>
      <c r="G39" s="21" t="n"/>
      <c r="H39" s="22" t="n"/>
      <c r="I39" s="16" t="n"/>
      <c r="J39" s="19" t="n"/>
      <c r="K39" s="21" t="n"/>
      <c r="L39" s="21" t="n"/>
      <c r="M39" s="23" t="n"/>
      <c r="N39" s="23" t="n"/>
      <c r="O39" s="24" t="n"/>
      <c r="P39" s="25" t="n"/>
      <c r="Q39" s="26" t="n"/>
    </row>
    <row r="40">
      <c r="A40" s="16" t="n"/>
      <c r="B40" s="19" t="n"/>
      <c r="C40" s="16" t="n"/>
      <c r="D40" s="16" t="n"/>
      <c r="E40" s="16" t="n"/>
      <c r="F40" s="20" t="n"/>
      <c r="G40" s="21" t="n"/>
      <c r="H40" s="22" t="n"/>
      <c r="I40" s="16" t="n"/>
      <c r="J40" s="19" t="n"/>
      <c r="K40" s="21" t="n"/>
      <c r="L40" s="21" t="n"/>
      <c r="M40" s="23" t="n"/>
      <c r="N40" s="23" t="n"/>
      <c r="O40" s="24" t="n"/>
      <c r="P40" s="25" t="n"/>
      <c r="Q40" s="26" t="n"/>
    </row>
    <row r="41">
      <c r="A41" s="16" t="n"/>
      <c r="B41" s="19" t="n"/>
      <c r="C41" s="16" t="n"/>
      <c r="D41" s="16" t="n"/>
      <c r="E41" s="16" t="n"/>
      <c r="F41" s="20" t="n"/>
      <c r="G41" s="21" t="n"/>
      <c r="H41" s="22" t="n"/>
      <c r="I41" s="16" t="n"/>
      <c r="J41" s="19" t="n"/>
      <c r="K41" s="21" t="n"/>
      <c r="L41" s="21" t="n"/>
      <c r="M41" s="23" t="n"/>
      <c r="N41" s="23" t="n"/>
      <c r="O41" s="24" t="n"/>
      <c r="P41" s="25" t="n"/>
      <c r="Q41" s="26" t="n"/>
    </row>
    <row r="42">
      <c r="A42" s="16" t="n"/>
      <c r="B42" s="19" t="n"/>
      <c r="C42" s="16" t="n"/>
      <c r="D42" s="16" t="n"/>
      <c r="E42" s="16" t="n"/>
      <c r="F42" s="20" t="n"/>
      <c r="G42" s="21" t="n"/>
      <c r="H42" s="22" t="n"/>
      <c r="I42" s="16" t="n"/>
      <c r="J42" s="19" t="n"/>
      <c r="K42" s="21" t="n"/>
      <c r="L42" s="21" t="n"/>
      <c r="M42" s="23" t="n"/>
      <c r="N42" s="23" t="n"/>
      <c r="O42" s="24" t="n"/>
      <c r="P42" s="25" t="n"/>
      <c r="Q42" s="26" t="n"/>
    </row>
    <row r="43">
      <c r="A43" s="16" t="n"/>
      <c r="B43" s="19" t="n"/>
      <c r="C43" s="16" t="n"/>
      <c r="D43" s="16" t="n"/>
      <c r="E43" s="16" t="n"/>
      <c r="F43" s="20" t="n"/>
      <c r="G43" s="21" t="n"/>
      <c r="H43" s="22" t="n"/>
      <c r="I43" s="16" t="n"/>
      <c r="J43" s="19" t="n"/>
      <c r="K43" s="21" t="n"/>
      <c r="L43" s="21" t="n"/>
      <c r="M43" s="23" t="n"/>
      <c r="N43" s="23" t="n"/>
      <c r="O43" s="24" t="n"/>
      <c r="P43" s="25" t="n"/>
      <c r="Q43" s="26" t="n"/>
    </row>
    <row r="44">
      <c r="A44" s="16" t="n"/>
      <c r="B44" s="19" t="n"/>
      <c r="C44" s="16" t="n"/>
      <c r="D44" s="16" t="n"/>
      <c r="E44" s="16" t="n"/>
      <c r="F44" s="20" t="n"/>
      <c r="G44" s="21" t="n"/>
      <c r="H44" s="22" t="n"/>
      <c r="I44" s="16" t="n"/>
      <c r="J44" s="19" t="n"/>
      <c r="K44" s="21" t="n"/>
      <c r="L44" s="21" t="n"/>
      <c r="M44" s="23" t="n"/>
      <c r="N44" s="23" t="n"/>
      <c r="O44" s="24" t="n"/>
      <c r="P44" s="25" t="n"/>
      <c r="Q44" s="26" t="n"/>
    </row>
    <row r="45">
      <c r="A45" s="16" t="n"/>
      <c r="Q45" s="13" t="n"/>
    </row>
    <row r="46">
      <c r="A46" s="41" t="inlineStr">
        <is>
          <t>Cordialmente</t>
        </is>
      </c>
      <c r="Q46" s="13" t="n"/>
    </row>
    <row r="47"/>
    <row r="48" ht="15.75" customHeight="1" thickBot="1">
      <c r="A48" s="17" t="n"/>
      <c r="B48" s="17" t="n"/>
      <c r="C48" s="17" t="n"/>
      <c r="D48" s="17" t="n"/>
    </row>
    <row r="49">
      <c r="A49" t="inlineStr">
        <is>
          <t>EDWIN MARIN MONTOYA</t>
        </is>
      </c>
    </row>
    <row r="50">
      <c r="A50" t="inlineStr">
        <is>
          <t>Ingeniero Civil</t>
        </is>
      </c>
    </row>
    <row r="51">
      <c r="A51" t="inlineStr">
        <is>
          <t>MP 05202-254406</t>
        </is>
      </c>
    </row>
  </sheetData>
  <mergeCells count="20">
    <mergeCell ref="J7:K8"/>
    <mergeCell ref="Q11:Q35"/>
    <mergeCell ref="A6:B6"/>
    <mergeCell ref="F7:G7"/>
    <mergeCell ref="A7:B7"/>
    <mergeCell ref="A46:B46"/>
    <mergeCell ref="C7:E7"/>
    <mergeCell ref="N7:Q7"/>
    <mergeCell ref="F8:G8"/>
    <mergeCell ref="A3:Q3"/>
    <mergeCell ref="L7:M8"/>
    <mergeCell ref="A5:B5"/>
    <mergeCell ref="A2:Q2"/>
    <mergeCell ref="O11:O16"/>
    <mergeCell ref="A8:B8"/>
    <mergeCell ref="C8:D8"/>
    <mergeCell ref="C6:Q6"/>
    <mergeCell ref="N8:Q8"/>
    <mergeCell ref="A4:Q4"/>
    <mergeCell ref="C5:Q5"/>
  </mergeCells>
  <pageMargins left="0.7" right="0.7" top="0.75" bottom="0.75" header="0.3" footer="0.3"/>
  <pageSetup orientation="landscape" paperSize="122" scale="97"/>
  <headerFooter>
    <oddHeader/>
    <oddFooter>&amp;C&amp;"Arial,Normal"&amp;8 MEMORIAS DE CÁLCULO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William Gomez</dc:creator>
  <dcterms:created xmlns:dcterms="http://purl.org/dc/terms/" xmlns:xsi="http://www.w3.org/2001/XMLSchema-instance" xsi:type="dcterms:W3CDTF">2010-03-28T21:22:08Z</dcterms:created>
  <dcterms:modified xmlns:dcterms="http://purl.org/dc/terms/" xmlns:xsi="http://www.w3.org/2001/XMLSchema-instance" xsi:type="dcterms:W3CDTF">2026-06-06T12:29:45Z</dcterms:modified>
  <cp:lastModifiedBy>Paola Andrea Garcia Tangarife</cp:lastModifiedBy>
  <cp:lastPrinted>2026-04-28T18:21:52Z</cp:lastPrinted>
</cp:coreProperties>
</file>