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saveExternalLinkValues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10B3C03A-FC04-418F-99A9-9F87106EE55A}" xr6:coauthVersionLast="47" xr6:coauthVersionMax="47" xr10:uidLastSave="{00000000-0000-0000-0000-000000000000}"/>
  <workbookProtection workbookPassword="8F65" lockStructure="1"/>
  <bookViews>
    <workbookView showHorizontalScroll="0" showVerticalScroll="0" xWindow="-120" yWindow="-120" windowWidth="20730" windowHeight="11040" tabRatio="831" activeTab="1" xr2:uid="{00000000-000D-0000-FFFF-FFFF00000000}"/>
  </bookViews>
  <sheets>
    <sheet name="ACERCA DE &quot;Qc&quot;" sheetId="1" r:id="rId1"/>
    <sheet name="MÉTODO TERZAGHI" sheetId="21894" r:id="rId2"/>
    <sheet name="AYUDA" sheetId="3606" r:id="rId3"/>
    <sheet name="INFO" sheetId="1811" r:id="rId4"/>
  </sheets>
  <externalReferences>
    <externalReference r:id="rId5"/>
    <externalReference r:id="rId6"/>
  </externalReferences>
  <definedNames>
    <definedName name="A">#REF!</definedName>
    <definedName name="AB">'MÉTODO TERZAGHI'!$H$18</definedName>
    <definedName name="Ai">#REF!</definedName>
    <definedName name="_xlnm.Print_Area" localSheetId="0">'ACERCA DE "Qc"'!$A$1:$H$16</definedName>
    <definedName name="_xlnm.Print_Area" localSheetId="2">AYUDA!$A$1:$H$46</definedName>
    <definedName name="_xlnm.Print_Area" localSheetId="1">'MÉTODO TERZAGHI'!$A$4:$J$57</definedName>
    <definedName name="B" localSheetId="1">'MÉTODO TERZAGHI'!$H$24</definedName>
    <definedName name="c_">'MÉTODO TERZAGHI'!#REF!</definedName>
    <definedName name="CC">'[1]Sieve (Data)'!$K$35</definedName>
    <definedName name="CH" localSheetId="1">'MÉTODO TERZAGHI'!$H$22</definedName>
    <definedName name="CH">#REF!</definedName>
    <definedName name="Clay">'[1]Sieve (Data)'!$K$19</definedName>
    <definedName name="Coarse_Cummalitive">'[1]Sieve (Data)'!$E$7</definedName>
    <definedName name="cohesión" localSheetId="1">'MÉTODO TERZAGHI'!#REF!</definedName>
    <definedName name="cohesión">#REF!</definedName>
    <definedName name="Crushed">'[1]Sieve (Data)'!$K$20</definedName>
    <definedName name="CU">'[1]Sieve (Data)'!$K$36</definedName>
    <definedName name="D">#REF!</definedName>
    <definedName name="Df" localSheetId="1">'MÉTODO TERZAGHI'!$H$20</definedName>
    <definedName name="Df">#REF!</definedName>
    <definedName name="Dry_Density">'[1]Proctor (Report)'!$G$14</definedName>
    <definedName name="e">#REF!</definedName>
    <definedName name="FI" localSheetId="1">'MÉTODO TERZAGHI'!$H$23</definedName>
    <definedName name="FI">#REF!</definedName>
    <definedName name="Fineness_Modulus">'[1]Sieve (Data)'!$K$30</definedName>
    <definedName name="Fines_Cumulative">'[1]Sieve (Data)'!$E$30</definedName>
    <definedName name="fs" localSheetId="1">'MÉTODO TERZAGHI'!$I$17</definedName>
    <definedName name="GM" localSheetId="1">'MÉTODO TERZAGHI'!$H$21</definedName>
    <definedName name="GM">#REF!</definedName>
    <definedName name="Go">#REF!</definedName>
    <definedName name="Gravel">'[1]Sieve (Data)'!$K$38</definedName>
    <definedName name="Gs">#REF!</definedName>
    <definedName name="Gw">#REF!</definedName>
    <definedName name="H">#REF!</definedName>
    <definedName name="Liquid_Limit">'[1]Sieve (Data)'!$K$26</definedName>
    <definedName name="n">#REF!</definedName>
    <definedName name="nc" localSheetId="1">'MÉTODO TERZAGHI'!#REF!</definedName>
    <definedName name="Nc">#REF!</definedName>
    <definedName name="nc_">'MÉTODO TERZAGHI'!$H$41</definedName>
    <definedName name="ng" localSheetId="1">'MÉTODO TERZAGHI'!$E$42</definedName>
    <definedName name="Ng">#REF!</definedName>
    <definedName name="ng_">'MÉTODO TERZAGHI'!#REF!</definedName>
    <definedName name="Non_Plastic">'[2]Sieve (Data)'!$K$24</definedName>
    <definedName name="nq" localSheetId="1">'MÉTODO TERZAGHI'!$E$41</definedName>
    <definedName name="Nq">#REF!</definedName>
    <definedName name="nq_">'MÉTODO TERZAGHI'!$H$42</definedName>
    <definedName name="OptMoist">'[2]Proctor (Report)'!$I$14</definedName>
    <definedName name="Organic">'[2]Sieve (Data)'!$K$17</definedName>
    <definedName name="Ph">#REF!</definedName>
    <definedName name="Plastic_Limit">'[2]Sieve (Data)'!$K$27</definedName>
    <definedName name="Plasticity_Index">'[2]Sieve (Data)'!$K$28</definedName>
    <definedName name="Ps">#REF!</definedName>
    <definedName name="Qu" localSheetId="1">'MÉTODO TERZAGHI'!#REF!</definedName>
    <definedName name="Qu">#REF!</definedName>
    <definedName name="RADIO">#REF!</definedName>
    <definedName name="Sand">'[2]Sieve (Data)'!$K$39</definedName>
    <definedName name="Silt">'[2]Sieve (Data)'!$K$18</definedName>
    <definedName name="Silt_Clay">'[2]Sieve (Data)'!$K$40</definedName>
    <definedName name="Sm">#REF!</definedName>
    <definedName name="Sp.Gr.">'[2]Proctor (Report)'!$B$13</definedName>
    <definedName name="Split">'[2]Sieve (Data)'!$E$3</definedName>
    <definedName name="Split_Percent">'[2]Sieve (Data)'!$R$18</definedName>
    <definedName name="Split_Weight">'[2]Sieve (Data)'!$D$31</definedName>
    <definedName name="Ss">#REF!</definedName>
    <definedName name="_xlnm.Print_Titles" localSheetId="1">'MÉTODO TERZAGHI'!$4:$16</definedName>
    <definedName name="TON_M2">#REF!</definedName>
    <definedName name="Total_Weight">'[2]Sieve (Data)'!$R$1</definedName>
    <definedName name="v">#REF!</definedName>
    <definedName name="Va">#REF!</definedName>
    <definedName name="Vi">#REF!</definedName>
    <definedName name="Vm">#REF!</definedName>
    <definedName name="Vs">#REF!</definedName>
    <definedName name="Vv">#REF!</definedName>
    <definedName name="Vw">#REF!</definedName>
    <definedName name="W">#REF!</definedName>
    <definedName name="Wm">#REF!</definedName>
    <definedName name="Ws">#REF!</definedName>
    <definedName name="W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6" i="21894" l="1"/>
  <c r="C33" i="21894" l="1"/>
  <c r="B31" i="21894" s="1"/>
  <c r="C35" i="21894"/>
  <c r="C39" i="21894"/>
  <c r="H21" i="21894" s="1"/>
  <c r="C30" i="21894"/>
  <c r="E5" i="1811"/>
  <c r="E6" i="1811" s="1"/>
  <c r="E7" i="1811" s="1"/>
  <c r="E8" i="1811" s="1"/>
  <c r="E9" i="1811" s="1"/>
  <c r="E10" i="1811" s="1"/>
  <c r="E11" i="1811" s="1"/>
  <c r="E12" i="1811" s="1"/>
  <c r="E13" i="1811" s="1"/>
  <c r="E14" i="1811" s="1"/>
  <c r="E15" i="1811" s="1"/>
  <c r="E16" i="1811" s="1"/>
  <c r="E17" i="1811" s="1"/>
  <c r="E18" i="1811" s="1"/>
  <c r="E19" i="1811" s="1"/>
  <c r="E20" i="1811" s="1"/>
  <c r="E21" i="1811" s="1"/>
  <c r="E22" i="1811" s="1"/>
  <c r="E23" i="1811" s="1"/>
  <c r="E24" i="1811" s="1"/>
  <c r="E25" i="1811" s="1"/>
  <c r="E26" i="1811" s="1"/>
  <c r="E27" i="1811" s="1"/>
  <c r="E28" i="1811" s="1"/>
  <c r="E29" i="1811" s="1"/>
  <c r="C42" i="21894" l="1"/>
  <c r="B30" i="21894"/>
  <c r="A31" i="21894"/>
  <c r="A30" i="21894"/>
  <c r="H27" i="21894" l="1"/>
  <c r="L29" i="21894" s="1"/>
  <c r="C37" i="21894"/>
  <c r="H23" i="21894" s="1"/>
</calcChain>
</file>

<file path=xl/sharedStrings.xml><?xml version="1.0" encoding="utf-8"?>
<sst xmlns="http://schemas.openxmlformats.org/spreadsheetml/2006/main" count="94" uniqueCount="89">
  <si>
    <t>FECHA:</t>
  </si>
  <si>
    <t>ELABORADO PARA:</t>
  </si>
  <si>
    <t>LOCALIZACIÓN:</t>
  </si>
  <si>
    <t>DATOS:</t>
  </si>
  <si>
    <t>PROYECTO:</t>
  </si>
  <si>
    <t>CAPACIDAD DE CARGA</t>
  </si>
  <si>
    <t xml:space="preserve">Autor: </t>
  </si>
  <si>
    <t>OSCAR ELIUD CASTILLO MARTÍNEZ</t>
  </si>
  <si>
    <t>Creado:</t>
  </si>
  <si>
    <t xml:space="preserve">Revisión: </t>
  </si>
  <si>
    <t>Comentarios y aportaciones:</t>
  </si>
  <si>
    <t>Entrar a:</t>
  </si>
  <si>
    <t>DATOS / RESULTADOS</t>
  </si>
  <si>
    <t>Valor según ensaye de prueba de corte directo o prueba triaxial, en grados sexagesimales.</t>
  </si>
  <si>
    <t>Valor de dicho peso en campo, en kg/m3</t>
  </si>
  <si>
    <t>Profundidad de desplante de la cimentación en metros.</t>
  </si>
  <si>
    <t>Profundidad de desplante,Df.</t>
  </si>
  <si>
    <t>Cohesión,c.</t>
  </si>
  <si>
    <t>FACTOR DE SEGURIDAD;F.S.</t>
  </si>
  <si>
    <t>FACTORES DE CARGA.</t>
  </si>
  <si>
    <t>Estos factores "Qc-Capacidad de carga" los calcula automáticamente en función del ángulo de fricción interna.</t>
  </si>
  <si>
    <r>
      <t>PROYECTO:</t>
    </r>
    <r>
      <rPr>
        <i/>
        <sz val="10"/>
        <rFont val="Arial"/>
        <family val="2"/>
      </rPr>
      <t>Nombre del proyecto a tratar.</t>
    </r>
  </si>
  <si>
    <r>
      <t xml:space="preserve">LOCALIZACIÓN: </t>
    </r>
    <r>
      <rPr>
        <i/>
        <sz val="10"/>
        <rFont val="Arial"/>
        <family val="2"/>
      </rPr>
      <t>Del proyecto.</t>
    </r>
  </si>
  <si>
    <r>
      <t xml:space="preserve">ELABORADO PARA: </t>
    </r>
    <r>
      <rPr>
        <i/>
        <sz val="10"/>
        <rFont val="Arial"/>
        <family val="2"/>
      </rPr>
      <t>Para quien se realiza el trabajo.</t>
    </r>
  </si>
  <si>
    <r>
      <t xml:space="preserve">LUGAR: </t>
    </r>
    <r>
      <rPr>
        <i/>
        <sz val="10"/>
        <rFont val="Arial"/>
        <family val="2"/>
      </rPr>
      <t>Ciudad en donde realiza el trabajo.</t>
    </r>
  </si>
  <si>
    <r>
      <t xml:space="preserve">FECHA: </t>
    </r>
    <r>
      <rPr>
        <i/>
        <sz val="10"/>
        <rFont val="Arial"/>
        <family val="2"/>
      </rPr>
      <t>De reporte. (Automático a la fecha de elaboración del mismo)</t>
    </r>
  </si>
  <si>
    <r>
      <t xml:space="preserve">ELABORÓ: </t>
    </r>
    <r>
      <rPr>
        <i/>
        <sz val="10"/>
        <rFont val="Arial"/>
        <family val="2"/>
      </rPr>
      <t>Nombre de quien realiza el reporte.</t>
    </r>
  </si>
  <si>
    <t>En este sector aparecen los resultados según las diferentes fórmulas de cada caso.</t>
  </si>
  <si>
    <t>Valor de dicha propiedad del suelo según ensaye de compresión, en kg/cm2. Este valor puede estar en función del ángulo de fricción interna. Qc-Capacidad de carga lo calcula automáticamente dando el esfuerzo último y el ángulo de fricción interna; más sin embargo se puede introducir si asi se conviene.</t>
  </si>
  <si>
    <t>Peso Volumétrico del suelo, g.</t>
  </si>
  <si>
    <t>Seleccionar el factor de seguridad según el tipo de proyecto.</t>
  </si>
  <si>
    <r>
      <t>3.5</t>
    </r>
    <r>
      <rPr>
        <i/>
        <sz val="9"/>
        <rFont val="Arial"/>
        <family val="2"/>
      </rPr>
      <t xml:space="preserve"> - Edificios industriales,públicos;almacenes</t>
    </r>
  </si>
  <si>
    <r>
      <t>3.0</t>
    </r>
    <r>
      <rPr>
        <i/>
        <sz val="9"/>
        <rFont val="Arial"/>
        <family val="2"/>
      </rPr>
      <t xml:space="preserve"> - Departamentos,oficinas</t>
    </r>
  </si>
  <si>
    <r>
      <t>2.5</t>
    </r>
    <r>
      <rPr>
        <i/>
        <sz val="9"/>
        <rFont val="Arial"/>
        <family val="2"/>
      </rPr>
      <t xml:space="preserve"> - Silos,anuncios</t>
    </r>
  </si>
  <si>
    <t>PARA IMPRIMIR ESTA AYUDA SOLO OPRIMA EL ÍCONO DE IMPRESÓN EN LA BARRA DE HERRAMIENTAS DE MICROSOFT EXCEL.</t>
  </si>
  <si>
    <t>eliudcm@prodigy.net.mx</t>
  </si>
  <si>
    <t>FACTORES DE CARGA</t>
  </si>
  <si>
    <t>Ángulo Fi</t>
  </si>
  <si>
    <t>Nc</t>
  </si>
  <si>
    <t>Nq</t>
  </si>
  <si>
    <t>Ng</t>
  </si>
  <si>
    <t>Datos:</t>
  </si>
  <si>
    <t>"Qc- Capacidad de carga" (versión 1.5) es una plantilla realizada en Microsoft Excel. Esta aplicación es proporcionada como está, sin garantía de ninguna clase y es de libre distribución. La responsabilidad total de los resultados y la ejecución de la misma es asumida por el usuario.</t>
  </si>
  <si>
    <t>ELABORÓ:</t>
  </si>
  <si>
    <t>TERZAGHI</t>
  </si>
  <si>
    <t>MEYERHOF</t>
  </si>
  <si>
    <t>SKEMPTON</t>
  </si>
  <si>
    <t>D/B</t>
  </si>
  <si>
    <t>Cálculos y Resultados:</t>
  </si>
  <si>
    <t>"Qc- Capacidad de carga":Aplicación en Excel para determinar la capacidad de carga de un suelo según el método de Terzaghi.</t>
  </si>
  <si>
    <t>DATOS DEL PROYECTO.</t>
  </si>
  <si>
    <t>Ayuda para Qc-Capacidad de carga (v1.5)</t>
  </si>
  <si>
    <t>Angulo de fricción interna, Fi</t>
  </si>
  <si>
    <t>Ancho ó Radio del cimiento,B ó R</t>
  </si>
  <si>
    <t>Dependiendo la forma del cimiento. En metros</t>
  </si>
  <si>
    <t>Tipo de Suelo.</t>
  </si>
  <si>
    <t>"1" si el tipo de suelo es arcilloso firme, "2" si es arcilloso blando o "3" si es arenoso. Este dato se considera</t>
  </si>
  <si>
    <t>para determinar la fórmula a utilizar en el cálculo; ya que según la Teoría de Terzaghi se estima que un suelo</t>
  </si>
  <si>
    <t>blando de características arcillosas o en un suelo arenoso el tipo de falla (llamada "Falla Local") es</t>
  </si>
  <si>
    <t>diferente al tipo de falla (llamada:"Falla General")en un suelo de características más firmes, asi como para</t>
  </si>
  <si>
    <t>el uso de cimentaciónes corridas.</t>
  </si>
  <si>
    <t>CÁLCULOS Y RESULTADOS.</t>
  </si>
  <si>
    <t>Para imprimir toda la hoja solo pulse el ícono de impresión de la barra de menú principal de Microsoft Excel.</t>
  </si>
  <si>
    <t>Qc-Capacidad de carga Versión 1.5 es una aplicación como plantilla realizada en Microsoft Excel 2003, por lo que la ayuda con respecto a las funciones y herramientas está dada por dicho programa. Para ello,ingrese a la pestaña "?" en la barra de menú principal; o pulse F1.</t>
  </si>
  <si>
    <t>27/03/07</t>
  </si>
  <si>
    <t>EDWIN MARIN MONTOYA                       Ing Civil</t>
  </si>
  <si>
    <t>( n) Número de golpes ensayo SPT</t>
  </si>
  <si>
    <t>EDWIN MARIN MONTOYA</t>
  </si>
  <si>
    <t>MP 05202-254406</t>
  </si>
  <si>
    <t>EDWIN MARIN</t>
  </si>
  <si>
    <t>DMM</t>
  </si>
  <si>
    <r>
      <t>Ancho o Diámetro del cimiento; B</t>
    </r>
    <r>
      <rPr>
        <i/>
        <sz val="12"/>
        <rFont val="Arial"/>
        <family val="2"/>
      </rPr>
      <t xml:space="preserve"> </t>
    </r>
    <r>
      <rPr>
        <sz val="12"/>
        <rFont val="Arial"/>
        <family val="2"/>
      </rPr>
      <t>ó D</t>
    </r>
    <r>
      <rPr>
        <i/>
        <sz val="12"/>
        <rFont val="Arial"/>
        <family val="2"/>
      </rPr>
      <t xml:space="preserve"> (mts):</t>
    </r>
  </si>
  <si>
    <t>DETERMINACIÓN DE ASENTAMIENTOS POR EL MÉTODO DE BURLAND</t>
  </si>
  <si>
    <r>
      <t xml:space="preserve">relación de possion del suelo </t>
    </r>
    <r>
      <rPr>
        <sz val="12"/>
        <rFont val="Calibri"/>
        <family val="2"/>
      </rPr>
      <t>µ</t>
    </r>
  </si>
  <si>
    <r>
      <t xml:space="preserve">relación de la cimentación </t>
    </r>
    <r>
      <rPr>
        <sz val="12"/>
        <rFont val="Calibri"/>
        <family val="2"/>
      </rPr>
      <t>α</t>
    </r>
  </si>
  <si>
    <t>carga aplicada qu KN</t>
  </si>
  <si>
    <t>módulo de elasticidad E KPa</t>
  </si>
  <si>
    <t>S=</t>
  </si>
  <si>
    <t>E=</t>
  </si>
  <si>
    <t>m=L/B</t>
  </si>
  <si>
    <t>largo del cimiento L</t>
  </si>
  <si>
    <t>asentamiento total S (mm)</t>
  </si>
  <si>
    <t>Area del cimiento</t>
  </si>
  <si>
    <t>q=</t>
  </si>
  <si>
    <r>
      <rPr>
        <sz val="12"/>
        <rFont val="Calibri"/>
        <family val="2"/>
      </rPr>
      <t>α</t>
    </r>
    <r>
      <rPr>
        <i/>
        <sz val="12"/>
        <rFont val="Arial"/>
        <family val="2"/>
      </rPr>
      <t>=</t>
    </r>
  </si>
  <si>
    <t>Como resultado de la aplicación de sobrecargas producto de la implantación de las superestructuras, el suelo experimentará asentamientos cuya magnitud estará en función de las cargas aplicadas y del área sobre las que actuarán las mismas.</t>
  </si>
  <si>
    <t>En este orden de ideas, se ha efectuado un análisis de asentamientos elásticos para la carga aplicada, en las condiciones geotécnicas ofrecidas por el suelo que componen la unidad geológico-geotécnica presente en el sitio crítico.  El cálculo de los asentamientos, tanto elásticos como por punta y por fuste, al igual que los coeficientes de balasto respectivos.</t>
  </si>
  <si>
    <t>ESTRUCTURA DE DOS NIVELES</t>
  </si>
  <si>
    <t>PARCELACIÓN EL LEÓN LOTE 17 VDA. EL TAMBO, SAN PEDRO  - 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</si>
</sst>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d/mm/yy;@"/>
    <numFmt numFmtId="166" formatCode="dd/mm/yyyy;@"/>
    <numFmt numFmtId="167" formatCode="0.0000"/>
    <numFmt numFmtId="168" formatCode="0.000"/>
    <numFmt numFmtId="169" formatCode="0.00000"/>
  </numFmts>
  <fonts count="45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u/>
      <sz val="10"/>
      <color indexed="12"/>
      <name val="Arial"/>
      <family val="2"/>
    </font>
    <font>
      <i/>
      <u/>
      <sz val="10"/>
      <name val="Arial"/>
      <family val="2"/>
    </font>
    <font>
      <i/>
      <sz val="14"/>
      <color indexed="12"/>
      <name val="Arial Narrow"/>
      <family val="2"/>
    </font>
    <font>
      <b/>
      <sz val="16"/>
      <color indexed="12"/>
      <name val="BankGothic Md BT"/>
      <family val="2"/>
    </font>
    <font>
      <b/>
      <i/>
      <sz val="12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b/>
      <i/>
      <sz val="10"/>
      <color indexed="12"/>
      <name val="Comic Sans MS"/>
      <family val="4"/>
    </font>
    <font>
      <b/>
      <sz val="10"/>
      <name val="Arial Black"/>
      <family val="2"/>
    </font>
    <font>
      <b/>
      <i/>
      <sz val="10"/>
      <color indexed="9"/>
      <name val="Comic Sans MS"/>
      <family val="4"/>
    </font>
    <font>
      <u/>
      <sz val="12"/>
      <color indexed="8"/>
      <name val="Arial Black"/>
      <family val="2"/>
    </font>
    <font>
      <b/>
      <sz val="10"/>
      <color indexed="48"/>
      <name val="Arial"/>
      <family val="2"/>
    </font>
    <font>
      <b/>
      <sz val="9"/>
      <name val="Book Antiqua"/>
      <family val="1"/>
    </font>
    <font>
      <sz val="8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 Greek"/>
    </font>
    <font>
      <i/>
      <sz val="12"/>
      <name val="Arial Greek"/>
    </font>
    <font>
      <b/>
      <sz val="12"/>
      <name val="Arial Greek"/>
      <family val="2"/>
      <charset val="161"/>
    </font>
    <font>
      <b/>
      <i/>
      <sz val="12"/>
      <color indexed="18"/>
      <name val="Arial"/>
      <family val="2"/>
    </font>
    <font>
      <sz val="12"/>
      <color rgb="FF00B05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</font>
    <font>
      <i/>
      <sz val="20"/>
      <name val="Arial"/>
      <family val="2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8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indexed="8"/>
      </right>
      <top style="thin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06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0" borderId="0" xfId="0" applyFill="1" applyBorder="1" applyProtection="1"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top" wrapText="1"/>
      <protection hidden="1"/>
    </xf>
    <xf numFmtId="0" fontId="14" fillId="0" borderId="3" xfId="0" applyFont="1" applyBorder="1" applyAlignment="1" applyProtection="1">
      <alignment horizontal="center" vertical="top" wrapText="1"/>
      <protection hidden="1"/>
    </xf>
    <xf numFmtId="0" fontId="2" fillId="0" borderId="4" xfId="0" applyFont="1" applyBorder="1" applyAlignment="1" applyProtection="1">
      <alignment horizontal="center"/>
      <protection hidden="1"/>
    </xf>
    <xf numFmtId="2" fontId="4" fillId="0" borderId="5" xfId="0" applyNumberFormat="1" applyFont="1" applyBorder="1" applyAlignment="1" applyProtection="1">
      <alignment horizontal="center"/>
      <protection hidden="1"/>
    </xf>
    <xf numFmtId="2" fontId="4" fillId="0" borderId="6" xfId="0" applyNumberFormat="1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2" fontId="4" fillId="0" borderId="8" xfId="0" applyNumberFormat="1" applyFont="1" applyBorder="1" applyAlignment="1" applyProtection="1">
      <alignment horizontal="center"/>
      <protection hidden="1"/>
    </xf>
    <xf numFmtId="2" fontId="4" fillId="0" borderId="9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top" wrapText="1"/>
      <protection hidden="1"/>
    </xf>
    <xf numFmtId="0" fontId="14" fillId="0" borderId="11" xfId="0" applyFont="1" applyBorder="1" applyAlignment="1" applyProtection="1">
      <alignment horizontal="center" vertical="top" wrapText="1"/>
      <protection hidden="1"/>
    </xf>
    <xf numFmtId="0" fontId="14" fillId="0" borderId="12" xfId="0" applyFont="1" applyBorder="1" applyAlignment="1" applyProtection="1">
      <alignment horizontal="center" vertical="top" wrapText="1"/>
      <protection hidden="1"/>
    </xf>
    <xf numFmtId="0" fontId="18" fillId="2" borderId="0" xfId="0" applyFont="1" applyFill="1" applyBorder="1" applyAlignment="1" applyProtection="1">
      <alignment horizontal="right" vertical="center" wrapText="1" shrinkToFit="1"/>
      <protection hidden="1"/>
    </xf>
    <xf numFmtId="0" fontId="19" fillId="2" borderId="0" xfId="0" applyFont="1" applyFill="1" applyBorder="1" applyAlignment="1" applyProtection="1">
      <alignment horizontal="right" vertical="center" wrapText="1" shrinkToFit="1"/>
      <protection hidden="1"/>
    </xf>
    <xf numFmtId="0" fontId="24" fillId="2" borderId="0" xfId="0" applyFont="1" applyFill="1" applyAlignment="1" applyProtection="1">
      <alignment horizontal="center" vertical="top"/>
      <protection hidden="1"/>
    </xf>
    <xf numFmtId="0" fontId="25" fillId="2" borderId="0" xfId="0" applyFont="1" applyFill="1" applyAlignment="1" applyProtection="1">
      <alignment horizontal="right" vertical="top"/>
      <protection hidden="1"/>
    </xf>
    <xf numFmtId="0" fontId="27" fillId="0" borderId="0" xfId="1" applyFont="1" applyFill="1" applyBorder="1" applyAlignment="1" applyProtection="1">
      <alignment horizontal="center" vertical="center"/>
      <protection hidden="1"/>
    </xf>
    <xf numFmtId="0" fontId="26" fillId="2" borderId="0" xfId="0" applyFont="1" applyFill="1" applyAlignment="1" applyProtection="1">
      <alignment horizontal="center" vertical="top"/>
      <protection hidden="1"/>
    </xf>
    <xf numFmtId="0" fontId="18" fillId="3" borderId="13" xfId="0" applyFont="1" applyFill="1" applyBorder="1" applyAlignment="1" applyProtection="1">
      <alignment vertical="justify" wrapText="1" shrinkToFit="1"/>
      <protection hidden="1"/>
    </xf>
    <xf numFmtId="0" fontId="18" fillId="3" borderId="14" xfId="0" applyFont="1" applyFill="1" applyBorder="1" applyAlignment="1" applyProtection="1">
      <alignment vertical="justify" wrapText="1" shrinkToFit="1"/>
      <protection hidden="1"/>
    </xf>
    <xf numFmtId="0" fontId="18" fillId="3" borderId="15" xfId="0" applyFont="1" applyFill="1" applyBorder="1" applyAlignment="1" applyProtection="1">
      <alignment vertical="justify" wrapText="1" shrinkToFit="1"/>
      <protection hidden="1"/>
    </xf>
    <xf numFmtId="0" fontId="13" fillId="0" borderId="1" xfId="0" applyNumberFormat="1" applyFont="1" applyBorder="1" applyAlignment="1" applyProtection="1">
      <alignment horizontal="center" vertical="top" wrapText="1"/>
      <protection hidden="1"/>
    </xf>
    <xf numFmtId="0" fontId="2" fillId="0" borderId="16" xfId="0" applyFont="1" applyBorder="1" applyAlignment="1" applyProtection="1">
      <alignment horizontal="center"/>
      <protection hidden="1"/>
    </xf>
    <xf numFmtId="2" fontId="4" fillId="0" borderId="17" xfId="0" applyNumberFormat="1" applyFont="1" applyBorder="1" applyAlignment="1" applyProtection="1">
      <alignment horizontal="center"/>
      <protection hidden="1"/>
    </xf>
    <xf numFmtId="2" fontId="4" fillId="0" borderId="18" xfId="0" applyNumberFormat="1" applyFont="1" applyBorder="1" applyAlignment="1" applyProtection="1">
      <alignment horizontal="center"/>
      <protection hidden="1"/>
    </xf>
    <xf numFmtId="0" fontId="2" fillId="4" borderId="5" xfId="0" applyFont="1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9" fillId="0" borderId="0" xfId="0" applyFont="1" applyFill="1" applyBorder="1" applyProtection="1"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164" fontId="9" fillId="0" borderId="0" xfId="0" applyNumberFormat="1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left"/>
      <protection hidden="1"/>
    </xf>
    <xf numFmtId="0" fontId="2" fillId="5" borderId="19" xfId="0" applyFont="1" applyFill="1" applyBorder="1" applyAlignment="1" applyProtection="1">
      <protection hidden="1"/>
    </xf>
    <xf numFmtId="164" fontId="2" fillId="0" borderId="4" xfId="0" applyNumberFormat="1" applyFont="1" applyBorder="1" applyAlignment="1" applyProtection="1">
      <alignment horizontal="center"/>
      <protection hidden="1"/>
    </xf>
    <xf numFmtId="2" fontId="2" fillId="0" borderId="4" xfId="0" applyNumberFormat="1" applyFont="1" applyBorder="1" applyAlignment="1" applyProtection="1">
      <alignment horizontal="center"/>
      <protection hidden="1"/>
    </xf>
    <xf numFmtId="1" fontId="2" fillId="0" borderId="16" xfId="0" applyNumberFormat="1" applyFont="1" applyBorder="1" applyAlignment="1" applyProtection="1">
      <alignment horizontal="center"/>
      <protection hidden="1"/>
    </xf>
    <xf numFmtId="1" fontId="2" fillId="0" borderId="4" xfId="0" applyNumberFormat="1" applyFont="1" applyBorder="1" applyAlignment="1" applyProtection="1">
      <alignment horizontal="center"/>
      <protection hidden="1"/>
    </xf>
    <xf numFmtId="164" fontId="4" fillId="0" borderId="6" xfId="0" applyNumberFormat="1" applyFont="1" applyBorder="1" applyAlignment="1" applyProtection="1">
      <alignment horizontal="center"/>
      <protection hidden="1"/>
    </xf>
    <xf numFmtId="164" fontId="4" fillId="0" borderId="9" xfId="0" applyNumberFormat="1" applyFont="1" applyBorder="1" applyAlignment="1" applyProtection="1">
      <alignment horizontal="center"/>
      <protection hidden="1"/>
    </xf>
    <xf numFmtId="0" fontId="4" fillId="0" borderId="0" xfId="0" applyFont="1" applyFill="1" applyBorder="1" applyProtection="1">
      <protection hidden="1"/>
    </xf>
    <xf numFmtId="0" fontId="0" fillId="0" borderId="0" xfId="0" applyFill="1" applyProtection="1">
      <protection hidden="1"/>
    </xf>
    <xf numFmtId="0" fontId="0" fillId="0" borderId="0" xfId="0" applyBorder="1" applyProtection="1">
      <protection hidden="1"/>
    </xf>
    <xf numFmtId="0" fontId="36" fillId="0" borderId="0" xfId="0" applyFont="1" applyFill="1" applyBorder="1" applyAlignment="1" applyProtection="1">
      <alignment horizontal="right" vertical="center"/>
      <protection hidden="1"/>
    </xf>
    <xf numFmtId="164" fontId="32" fillId="0" borderId="0" xfId="0" applyNumberFormat="1" applyFont="1" applyFill="1" applyBorder="1" applyAlignment="1" applyProtection="1">
      <alignment horizontal="left" vertical="center"/>
      <protection hidden="1"/>
    </xf>
    <xf numFmtId="0" fontId="32" fillId="0" borderId="0" xfId="0" applyFont="1" applyFill="1" applyBorder="1" applyAlignment="1" applyProtection="1">
      <alignment horizontal="right" vertical="center"/>
      <protection hidden="1"/>
    </xf>
    <xf numFmtId="0" fontId="5" fillId="0" borderId="0" xfId="0" applyFont="1" applyFill="1" applyBorder="1" applyAlignment="1" applyProtection="1">
      <alignment vertical="center"/>
      <protection hidden="1"/>
    </xf>
    <xf numFmtId="164" fontId="5" fillId="0" borderId="0" xfId="0" applyNumberFormat="1" applyFont="1" applyFill="1" applyBorder="1" applyAlignment="1" applyProtection="1">
      <alignment horizontal="left" vertical="center"/>
      <protection hidden="1"/>
    </xf>
    <xf numFmtId="0" fontId="31" fillId="0" borderId="20" xfId="0" applyFont="1" applyBorder="1" applyAlignment="1" applyProtection="1">
      <alignment vertical="center"/>
      <protection hidden="1"/>
    </xf>
    <xf numFmtId="0" fontId="31" fillId="0" borderId="0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Fill="1" applyAlignment="1" applyProtection="1">
      <alignment vertical="center"/>
      <protection hidden="1"/>
    </xf>
    <xf numFmtId="0" fontId="5" fillId="0" borderId="0" xfId="0" applyFont="1" applyFill="1" applyBorder="1" applyAlignment="1" applyProtection="1">
      <alignment horizontal="left" vertical="center"/>
      <protection hidden="1"/>
    </xf>
    <xf numFmtId="2" fontId="32" fillId="0" borderId="0" xfId="0" applyNumberFormat="1" applyFont="1" applyFill="1" applyBorder="1" applyAlignment="1" applyProtection="1">
      <alignment horizontal="left" vertical="center"/>
      <protection hidden="1"/>
    </xf>
    <xf numFmtId="0" fontId="35" fillId="0" borderId="0" xfId="0" applyFont="1" applyFill="1" applyBorder="1" applyAlignment="1" applyProtection="1">
      <alignment vertical="center"/>
      <protection hidden="1"/>
    </xf>
    <xf numFmtId="164" fontId="8" fillId="0" borderId="0" xfId="0" applyNumberFormat="1" applyFont="1" applyFill="1" applyBorder="1" applyAlignment="1" applyProtection="1">
      <alignment horizontal="center" vertical="center"/>
      <protection hidden="1"/>
    </xf>
    <xf numFmtId="0" fontId="31" fillId="0" borderId="0" xfId="0" applyFont="1" applyFill="1" applyBorder="1" applyAlignment="1" applyProtection="1">
      <alignment vertical="center"/>
      <protection hidden="1"/>
    </xf>
    <xf numFmtId="0" fontId="36" fillId="0" borderId="0" xfId="0" applyFont="1" applyFill="1" applyBorder="1" applyAlignment="1" applyProtection="1">
      <alignment vertical="center"/>
      <protection hidden="1"/>
    </xf>
    <xf numFmtId="0" fontId="34" fillId="0" borderId="0" xfId="0" applyFont="1" applyFill="1" applyBorder="1" applyAlignment="1" applyProtection="1">
      <alignment horizontal="left" vertical="center"/>
      <protection hidden="1"/>
    </xf>
    <xf numFmtId="0" fontId="37" fillId="0" borderId="0" xfId="0" applyFont="1" applyFill="1" applyBorder="1" applyAlignment="1" applyProtection="1">
      <alignment vertical="center"/>
      <protection hidden="1"/>
    </xf>
    <xf numFmtId="0" fontId="32" fillId="0" borderId="0" xfId="0" applyFont="1" applyFill="1" applyBorder="1" applyAlignment="1" applyProtection="1">
      <alignment vertical="center"/>
      <protection hidden="1"/>
    </xf>
    <xf numFmtId="0" fontId="31" fillId="0" borderId="0" xfId="0" applyFont="1" applyFill="1" applyBorder="1" applyAlignment="1" applyProtection="1">
      <alignment horizontal="left" vertical="center"/>
      <protection hidden="1"/>
    </xf>
    <xf numFmtId="0" fontId="38" fillId="0" borderId="0" xfId="0" applyFont="1" applyFill="1" applyBorder="1" applyAlignment="1" applyProtection="1">
      <alignment horizontal="right" vertical="center"/>
      <protection hidden="1"/>
    </xf>
    <xf numFmtId="164" fontId="38" fillId="0" borderId="0" xfId="0" applyNumberFormat="1" applyFont="1" applyFill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31" fillId="0" borderId="0" xfId="0" applyFont="1" applyBorder="1" applyAlignment="1" applyProtection="1">
      <alignment horizontal="right" vertical="center"/>
      <protection hidden="1"/>
    </xf>
    <xf numFmtId="0" fontId="32" fillId="0" borderId="0" xfId="0" applyFont="1" applyBorder="1" applyAlignment="1" applyProtection="1">
      <alignment vertical="center"/>
      <protection hidden="1"/>
    </xf>
    <xf numFmtId="0" fontId="31" fillId="0" borderId="14" xfId="0" applyFont="1" applyFill="1" applyBorder="1" applyAlignment="1" applyProtection="1">
      <alignment vertical="center"/>
      <protection hidden="1"/>
    </xf>
    <xf numFmtId="0" fontId="31" fillId="0" borderId="23" xfId="0" applyFont="1" applyFill="1" applyBorder="1" applyAlignment="1" applyProtection="1">
      <alignment vertical="center"/>
      <protection hidden="1"/>
    </xf>
    <xf numFmtId="0" fontId="5" fillId="0" borderId="23" xfId="0" applyFont="1" applyFill="1" applyBorder="1" applyAlignment="1" applyProtection="1">
      <alignment vertical="center"/>
      <protection hidden="1"/>
    </xf>
    <xf numFmtId="164" fontId="5" fillId="0" borderId="24" xfId="0" applyNumberFormat="1" applyFont="1" applyFill="1" applyBorder="1" applyAlignment="1" applyProtection="1">
      <alignment horizontal="left" vertical="center"/>
      <protection hidden="1"/>
    </xf>
    <xf numFmtId="0" fontId="38" fillId="0" borderId="24" xfId="0" applyFont="1" applyFill="1" applyBorder="1" applyAlignment="1" applyProtection="1">
      <alignment horizontal="right" vertical="center"/>
      <protection hidden="1"/>
    </xf>
    <xf numFmtId="164" fontId="38" fillId="0" borderId="24" xfId="0" applyNumberFormat="1" applyFont="1" applyFill="1" applyBorder="1" applyAlignment="1" applyProtection="1">
      <alignment horizontal="left" vertical="center"/>
      <protection hidden="1"/>
    </xf>
    <xf numFmtId="0" fontId="31" fillId="0" borderId="24" xfId="0" applyFont="1" applyFill="1" applyBorder="1" applyAlignment="1" applyProtection="1">
      <alignment vertical="center"/>
      <protection hidden="1"/>
    </xf>
    <xf numFmtId="0" fontId="6" fillId="0" borderId="0" xfId="0" applyFont="1" applyFill="1" applyBorder="1" applyAlignment="1" applyProtection="1">
      <protection hidden="1"/>
    </xf>
    <xf numFmtId="0" fontId="0" fillId="0" borderId="26" xfId="0" applyFill="1" applyBorder="1" applyProtection="1">
      <protection hidden="1"/>
    </xf>
    <xf numFmtId="0" fontId="28" fillId="0" borderId="27" xfId="0" applyFont="1" applyFill="1" applyBorder="1" applyAlignment="1" applyProtection="1">
      <alignment vertical="center" wrapText="1"/>
      <protection hidden="1"/>
    </xf>
    <xf numFmtId="0" fontId="0" fillId="4" borderId="0" xfId="0" applyFill="1" applyAlignment="1" applyProtection="1">
      <alignment horizontal="left" vertical="top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0" fontId="0" fillId="0" borderId="28" xfId="0" applyFill="1" applyBorder="1" applyAlignment="1" applyProtection="1">
      <protection hidden="1"/>
    </xf>
    <xf numFmtId="0" fontId="28" fillId="0" borderId="0" xfId="0" applyFont="1" applyFill="1" applyBorder="1" applyAlignment="1" applyProtection="1">
      <alignment vertical="center" wrapText="1"/>
      <protection hidden="1"/>
    </xf>
    <xf numFmtId="0" fontId="0" fillId="0" borderId="29" xfId="0" applyFill="1" applyBorder="1" applyAlignment="1" applyProtection="1">
      <protection hidden="1"/>
    </xf>
    <xf numFmtId="0" fontId="28" fillId="0" borderId="19" xfId="0" applyFont="1" applyFill="1" applyBorder="1" applyAlignment="1" applyProtection="1">
      <alignment horizontal="right"/>
      <protection hidden="1"/>
    </xf>
    <xf numFmtId="0" fontId="16" fillId="4" borderId="0" xfId="0" applyFont="1" applyFill="1" applyProtection="1"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7" fillId="4" borderId="0" xfId="0" applyFont="1" applyFill="1" applyProtection="1">
      <protection hidden="1"/>
    </xf>
    <xf numFmtId="0" fontId="2" fillId="4" borderId="0" xfId="0" applyFont="1" applyFill="1" applyProtection="1">
      <protection hidden="1"/>
    </xf>
    <xf numFmtId="0" fontId="10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11" fillId="4" borderId="0" xfId="0" applyFont="1" applyFill="1" applyProtection="1"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right" vertical="center" wrapText="1" shrinkToFit="1"/>
      <protection hidden="1"/>
    </xf>
    <xf numFmtId="0" fontId="15" fillId="0" borderId="0" xfId="1" applyFill="1" applyBorder="1" applyAlignment="1" applyProtection="1">
      <alignment horizontal="center" vertical="center" wrapText="1" shrinkToFit="1"/>
      <protection hidden="1"/>
    </xf>
    <xf numFmtId="0" fontId="17" fillId="0" borderId="0" xfId="0" applyFont="1" applyFill="1" applyBorder="1" applyAlignment="1" applyProtection="1">
      <alignment horizontal="right" wrapText="1" shrinkToFit="1"/>
      <protection hidden="1"/>
    </xf>
    <xf numFmtId="166" fontId="21" fillId="2" borderId="0" xfId="0" applyNumberFormat="1" applyFont="1" applyFill="1" applyBorder="1" applyAlignment="1" applyProtection="1">
      <alignment horizontal="left" shrinkToFit="1"/>
      <protection hidden="1"/>
    </xf>
    <xf numFmtId="0" fontId="0" fillId="0" borderId="0" xfId="0" applyBorder="1"/>
    <xf numFmtId="164" fontId="0" fillId="0" borderId="0" xfId="0" applyNumberFormat="1" applyBorder="1"/>
    <xf numFmtId="0" fontId="41" fillId="0" borderId="0" xfId="0" applyFont="1" applyBorder="1"/>
    <xf numFmtId="0" fontId="33" fillId="0" borderId="20" xfId="0" applyFont="1" applyFill="1" applyBorder="1" applyAlignment="1" applyProtection="1">
      <alignment horizontal="left" vertical="center"/>
      <protection hidden="1"/>
    </xf>
    <xf numFmtId="0" fontId="34" fillId="0" borderId="20" xfId="0" applyFont="1" applyFill="1" applyBorder="1" applyAlignment="1" applyProtection="1">
      <alignment vertical="center"/>
      <protection hidden="1"/>
    </xf>
    <xf numFmtId="2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Border="1" applyAlignment="1" applyProtection="1">
      <alignment vertical="center"/>
      <protection hidden="1"/>
    </xf>
    <xf numFmtId="0" fontId="39" fillId="0" borderId="0" xfId="0" applyFont="1" applyFill="1" applyBorder="1" applyAlignment="1" applyProtection="1">
      <alignment horizontal="center" vertical="center"/>
      <protection hidden="1"/>
    </xf>
    <xf numFmtId="0" fontId="39" fillId="0" borderId="0" xfId="0" applyFont="1" applyFill="1" applyBorder="1" applyAlignment="1" applyProtection="1">
      <alignment vertical="center"/>
      <protection hidden="1"/>
    </xf>
    <xf numFmtId="2" fontId="32" fillId="0" borderId="5" xfId="0" applyNumberFormat="1" applyFont="1" applyFill="1" applyBorder="1" applyAlignment="1" applyProtection="1">
      <alignment vertical="center"/>
      <protection hidden="1"/>
    </xf>
    <xf numFmtId="0" fontId="32" fillId="0" borderId="5" xfId="0" applyFont="1" applyFill="1" applyBorder="1" applyAlignment="1" applyProtection="1">
      <alignment vertical="center"/>
      <protection hidden="1"/>
    </xf>
    <xf numFmtId="0" fontId="32" fillId="0" borderId="5" xfId="0" applyFont="1" applyFill="1" applyBorder="1" applyAlignment="1" applyProtection="1">
      <alignment horizontal="left" vertical="center"/>
      <protection hidden="1"/>
    </xf>
    <xf numFmtId="0" fontId="0" fillId="0" borderId="21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31" fillId="0" borderId="23" xfId="0" applyFont="1" applyBorder="1" applyAlignment="1" applyProtection="1">
      <alignment vertical="center"/>
      <protection hidden="1"/>
    </xf>
    <xf numFmtId="0" fontId="31" fillId="0" borderId="14" xfId="0" applyFont="1" applyBorder="1" applyAlignment="1" applyProtection="1">
      <alignment vertical="center"/>
      <protection hidden="1"/>
    </xf>
    <xf numFmtId="0" fontId="5" fillId="0" borderId="39" xfId="0" applyFont="1" applyFill="1" applyBorder="1" applyAlignment="1" applyProtection="1">
      <alignment horizontal="left" vertical="center"/>
      <protection hidden="1"/>
    </xf>
    <xf numFmtId="0" fontId="34" fillId="0" borderId="40" xfId="0" applyFont="1" applyFill="1" applyBorder="1" applyAlignment="1" applyProtection="1">
      <alignment vertical="center"/>
      <protection hidden="1"/>
    </xf>
    <xf numFmtId="0" fontId="39" fillId="0" borderId="14" xfId="0" applyFont="1" applyFill="1" applyBorder="1" applyAlignment="1" applyProtection="1">
      <alignment vertical="center"/>
      <protection hidden="1"/>
    </xf>
    <xf numFmtId="0" fontId="39" fillId="0" borderId="23" xfId="0" applyFont="1" applyFill="1" applyBorder="1" applyAlignment="1" applyProtection="1">
      <alignment vertical="center"/>
      <protection hidden="1"/>
    </xf>
    <xf numFmtId="0" fontId="39" fillId="0" borderId="14" xfId="0" applyFont="1" applyFill="1" applyBorder="1" applyAlignment="1" applyProtection="1">
      <alignment horizontal="center" vertical="center"/>
      <protection hidden="1"/>
    </xf>
    <xf numFmtId="0" fontId="39" fillId="0" borderId="23" xfId="0" applyFont="1" applyFill="1" applyBorder="1" applyAlignment="1" applyProtection="1">
      <alignment horizontal="center" vertical="center"/>
      <protection hidden="1"/>
    </xf>
    <xf numFmtId="0" fontId="40" fillId="0" borderId="24" xfId="0" applyFont="1" applyBorder="1"/>
    <xf numFmtId="0" fontId="0" fillId="0" borderId="24" xfId="0" applyBorder="1"/>
    <xf numFmtId="0" fontId="5" fillId="0" borderId="25" xfId="0" applyFont="1" applyFill="1" applyBorder="1" applyAlignment="1" applyProtection="1">
      <alignment vertical="center"/>
      <protection hidden="1"/>
    </xf>
    <xf numFmtId="2" fontId="5" fillId="0" borderId="5" xfId="0" applyNumberFormat="1" applyFont="1" applyFill="1" applyBorder="1" applyAlignment="1" applyProtection="1">
      <alignment vertical="center"/>
      <protection hidden="1"/>
    </xf>
    <xf numFmtId="167" fontId="5" fillId="0" borderId="5" xfId="0" applyNumberFormat="1" applyFont="1" applyFill="1" applyBorder="1" applyAlignment="1" applyProtection="1">
      <alignment vertical="center"/>
      <protection hidden="1"/>
    </xf>
    <xf numFmtId="0" fontId="5" fillId="0" borderId="5" xfId="0" applyFont="1" applyFill="1" applyBorder="1" applyAlignment="1" applyProtection="1">
      <alignment vertical="center"/>
      <protection hidden="1"/>
    </xf>
    <xf numFmtId="0" fontId="8" fillId="0" borderId="5" xfId="0" applyFont="1" applyFill="1" applyBorder="1" applyAlignment="1" applyProtection="1">
      <alignment horizontal="center" vertical="center"/>
      <protection hidden="1"/>
    </xf>
    <xf numFmtId="164" fontId="5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168" fontId="5" fillId="0" borderId="5" xfId="0" applyNumberFormat="1" applyFont="1" applyFill="1" applyBorder="1" applyAlignment="1" applyProtection="1">
      <alignment horizontal="center" vertical="center"/>
      <protection locked="0"/>
    </xf>
    <xf numFmtId="0" fontId="35" fillId="0" borderId="14" xfId="0" applyFont="1" applyFill="1" applyBorder="1" applyAlignment="1" applyProtection="1">
      <alignment vertical="center"/>
      <protection hidden="1"/>
    </xf>
    <xf numFmtId="0" fontId="32" fillId="8" borderId="5" xfId="0" applyFont="1" applyFill="1" applyBorder="1" applyAlignment="1" applyProtection="1">
      <alignment vertical="center"/>
      <protection hidden="1"/>
    </xf>
    <xf numFmtId="0" fontId="32" fillId="8" borderId="5" xfId="0" applyFont="1" applyFill="1" applyBorder="1" applyAlignment="1" applyProtection="1">
      <alignment horizontal="left" vertical="center"/>
      <protection hidden="1"/>
    </xf>
    <xf numFmtId="0" fontId="5" fillId="0" borderId="42" xfId="0" applyFont="1" applyBorder="1" applyAlignment="1" applyProtection="1">
      <alignment vertical="center"/>
      <protection hidden="1"/>
    </xf>
    <xf numFmtId="0" fontId="31" fillId="0" borderId="41" xfId="0" applyFont="1" applyBorder="1" applyAlignment="1" applyProtection="1">
      <alignment vertical="center"/>
      <protection hidden="1"/>
    </xf>
    <xf numFmtId="0" fontId="31" fillId="0" borderId="43" xfId="0" applyFont="1" applyBorder="1" applyAlignment="1" applyProtection="1">
      <alignment vertical="center"/>
      <protection hidden="1"/>
    </xf>
    <xf numFmtId="169" fontId="31" fillId="0" borderId="0" xfId="0" applyNumberFormat="1" applyFont="1" applyFill="1" applyAlignment="1" applyProtection="1">
      <alignment vertical="center"/>
      <protection hidden="1"/>
    </xf>
    <xf numFmtId="165" fontId="1" fillId="0" borderId="34" xfId="0" applyNumberFormat="1" applyFont="1" applyBorder="1" applyAlignment="1" applyProtection="1">
      <alignment horizontal="center"/>
      <protection hidden="1"/>
    </xf>
    <xf numFmtId="0" fontId="35" fillId="0" borderId="0" xfId="0" applyFont="1" applyFill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protection hidden="1"/>
    </xf>
    <xf numFmtId="2" fontId="5" fillId="0" borderId="5" xfId="0" applyNumberFormat="1" applyFont="1" applyFill="1" applyBorder="1" applyAlignment="1" applyProtection="1">
      <alignment horizontal="center" vertical="center"/>
      <protection locked="0"/>
    </xf>
    <xf numFmtId="0" fontId="15" fillId="2" borderId="0" xfId="1" applyFill="1" applyAlignment="1" applyProtection="1">
      <alignment vertical="top" wrapText="1" shrinkToFit="1"/>
      <protection hidden="1"/>
    </xf>
    <xf numFmtId="0" fontId="20" fillId="2" borderId="0" xfId="0" applyFont="1" applyFill="1" applyBorder="1" applyAlignment="1" applyProtection="1">
      <alignment horizontal="center" vertical="center" wrapText="1" shrinkToFit="1"/>
      <protection hidden="1"/>
    </xf>
    <xf numFmtId="0" fontId="29" fillId="2" borderId="0" xfId="0" applyFont="1" applyFill="1" applyAlignment="1" applyProtection="1">
      <alignment horizontal="center" vertical="top" wrapText="1"/>
      <protection hidden="1"/>
    </xf>
    <xf numFmtId="0" fontId="23" fillId="2" borderId="0" xfId="0" applyFont="1" applyFill="1" applyAlignment="1" applyProtection="1">
      <alignment horizontal="left" vertical="top" wrapText="1" shrinkToFit="1"/>
      <protection hidden="1"/>
    </xf>
    <xf numFmtId="0" fontId="22" fillId="4" borderId="0" xfId="0" applyFont="1" applyFill="1" applyAlignment="1" applyProtection="1">
      <alignment horizontal="center" vertical="top" wrapText="1" shrinkToFit="1"/>
      <protection hidden="1"/>
    </xf>
    <xf numFmtId="0" fontId="18" fillId="3" borderId="21" xfId="0" applyFont="1" applyFill="1" applyBorder="1" applyAlignment="1" applyProtection="1">
      <alignment horizontal="right" vertical="center" wrapText="1" shrinkToFit="1"/>
      <protection hidden="1"/>
    </xf>
    <xf numFmtId="0" fontId="18" fillId="3" borderId="22" xfId="0" applyFont="1" applyFill="1" applyBorder="1" applyAlignment="1" applyProtection="1">
      <alignment horizontal="right" vertical="center" wrapText="1" shrinkToFit="1"/>
      <protection hidden="1"/>
    </xf>
    <xf numFmtId="0" fontId="18" fillId="3" borderId="0" xfId="0" applyFont="1" applyFill="1" applyBorder="1" applyAlignment="1" applyProtection="1">
      <alignment horizontal="right" vertical="center" wrapText="1" shrinkToFit="1"/>
      <protection hidden="1"/>
    </xf>
    <xf numFmtId="0" fontId="18" fillId="3" borderId="23" xfId="0" applyFont="1" applyFill="1" applyBorder="1" applyAlignment="1" applyProtection="1">
      <alignment horizontal="right" vertical="center" wrapText="1" shrinkToFit="1"/>
      <protection hidden="1"/>
    </xf>
    <xf numFmtId="0" fontId="18" fillId="3" borderId="24" xfId="0" applyFont="1" applyFill="1" applyBorder="1" applyAlignment="1" applyProtection="1">
      <alignment horizontal="right" vertical="center" wrapText="1" shrinkToFit="1"/>
      <protection hidden="1"/>
    </xf>
    <xf numFmtId="0" fontId="18" fillId="3" borderId="25" xfId="0" applyFont="1" applyFill="1" applyBorder="1" applyAlignment="1" applyProtection="1">
      <alignment horizontal="right" vertical="center" wrapText="1" shrinkToFit="1"/>
      <protection hidden="1"/>
    </xf>
    <xf numFmtId="0" fontId="34" fillId="8" borderId="30" xfId="0" applyFont="1" applyFill="1" applyBorder="1" applyAlignment="1" applyProtection="1">
      <alignment horizontal="left" vertical="center"/>
      <protection hidden="1"/>
    </xf>
    <xf numFmtId="0" fontId="31" fillId="8" borderId="31" xfId="0" applyFont="1" applyFill="1" applyBorder="1" applyAlignment="1" applyProtection="1">
      <alignment horizontal="left" vertical="center"/>
      <protection hidden="1"/>
    </xf>
    <xf numFmtId="0" fontId="31" fillId="8" borderId="32" xfId="0" applyFont="1" applyFill="1" applyBorder="1" applyAlignment="1" applyProtection="1">
      <alignment horizontal="left" vertical="center"/>
      <protection hidden="1"/>
    </xf>
    <xf numFmtId="0" fontId="1" fillId="0" borderId="5" xfId="0" applyFont="1" applyFill="1" applyBorder="1" applyAlignment="1" applyProtection="1">
      <alignment horizontal="left" wrapText="1" shrinkToFit="1"/>
      <protection hidden="1"/>
    </xf>
    <xf numFmtId="0" fontId="1" fillId="0" borderId="5" xfId="0" applyFont="1" applyFill="1" applyBorder="1" applyAlignment="1" applyProtection="1">
      <alignment horizontal="left"/>
      <protection hidden="1"/>
    </xf>
    <xf numFmtId="0" fontId="22" fillId="4" borderId="37" xfId="0" applyFont="1" applyFill="1" applyBorder="1" applyAlignment="1" applyProtection="1">
      <alignment horizontal="center" vertical="center" wrapText="1" shrinkToFit="1"/>
      <protection hidden="1"/>
    </xf>
    <xf numFmtId="0" fontId="22" fillId="4" borderId="31" xfId="0" applyFont="1" applyFill="1" applyBorder="1" applyAlignment="1" applyProtection="1">
      <alignment horizontal="center" vertical="center" wrapText="1" shrinkToFit="1"/>
      <protection hidden="1"/>
    </xf>
    <xf numFmtId="0" fontId="22" fillId="4" borderId="38" xfId="0" applyFont="1" applyFill="1" applyBorder="1" applyAlignment="1" applyProtection="1">
      <alignment horizontal="center" vertical="center" wrapText="1" shrinkToFit="1"/>
      <protection hidden="1"/>
    </xf>
    <xf numFmtId="0" fontId="1" fillId="8" borderId="5" xfId="0" applyFont="1" applyFill="1" applyBorder="1" applyAlignment="1" applyProtection="1">
      <alignment horizontal="center"/>
      <protection locked="0"/>
    </xf>
    <xf numFmtId="0" fontId="44" fillId="8" borderId="5" xfId="0" applyFont="1" applyFill="1" applyBorder="1" applyAlignment="1" applyProtection="1">
      <alignment horizontal="center"/>
      <protection locked="0"/>
    </xf>
    <xf numFmtId="0" fontId="3" fillId="9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 applyProtection="1">
      <alignment horizontal="left" wrapText="1" shrinkToFit="1"/>
      <protection hidden="1"/>
    </xf>
    <xf numFmtId="14" fontId="1" fillId="8" borderId="5" xfId="0" applyNumberFormat="1" applyFont="1" applyFill="1" applyBorder="1" applyAlignment="1" applyProtection="1">
      <alignment horizontal="center"/>
      <protection hidden="1"/>
    </xf>
    <xf numFmtId="0" fontId="1" fillId="8" borderId="5" xfId="0" applyFont="1" applyFill="1" applyBorder="1" applyAlignment="1" applyProtection="1">
      <alignment horizontal="center"/>
      <protection hidden="1"/>
    </xf>
    <xf numFmtId="0" fontId="9" fillId="8" borderId="27" xfId="0" applyFont="1" applyFill="1" applyBorder="1" applyAlignment="1" applyProtection="1">
      <alignment horizontal="center" vertical="center" wrapText="1"/>
      <protection hidden="1"/>
    </xf>
    <xf numFmtId="0" fontId="9" fillId="8" borderId="33" xfId="0" applyFont="1" applyFill="1" applyBorder="1" applyAlignment="1" applyProtection="1">
      <alignment horizontal="center" vertical="center" wrapText="1"/>
      <protection hidden="1"/>
    </xf>
    <xf numFmtId="0" fontId="9" fillId="8" borderId="0" xfId="0" applyFont="1" applyFill="1" applyBorder="1" applyAlignment="1" applyProtection="1">
      <alignment horizontal="center" vertical="center" wrapText="1"/>
      <protection hidden="1"/>
    </xf>
    <xf numFmtId="0" fontId="9" fillId="8" borderId="34" xfId="0" applyFont="1" applyFill="1" applyBorder="1" applyAlignment="1" applyProtection="1">
      <alignment horizontal="center" vertical="center" wrapText="1"/>
      <protection hidden="1"/>
    </xf>
    <xf numFmtId="0" fontId="9" fillId="8" borderId="19" xfId="0" applyFont="1" applyFill="1" applyBorder="1" applyAlignment="1" applyProtection="1">
      <alignment horizontal="center" vertical="center" wrapText="1"/>
      <protection hidden="1"/>
    </xf>
    <xf numFmtId="0" fontId="9" fillId="8" borderId="35" xfId="0" applyFont="1" applyFill="1" applyBorder="1" applyAlignment="1" applyProtection="1">
      <alignment horizontal="center" vertical="center" wrapText="1"/>
      <protection hidden="1"/>
    </xf>
    <xf numFmtId="0" fontId="35" fillId="0" borderId="0" xfId="0" applyFont="1" applyFill="1" applyBorder="1" applyAlignment="1" applyProtection="1">
      <alignment horizontal="center" vertical="center"/>
      <protection hidden="1"/>
    </xf>
    <xf numFmtId="0" fontId="31" fillId="8" borderId="5" xfId="0" applyFont="1" applyFill="1" applyBorder="1" applyAlignment="1" applyProtection="1">
      <alignment horizontal="left" vertical="center"/>
      <protection hidden="1"/>
    </xf>
    <xf numFmtId="0" fontId="32" fillId="0" borderId="0" xfId="0" applyFont="1" applyFill="1" applyBorder="1" applyAlignment="1" applyProtection="1">
      <alignment horizontal="left" vertical="center"/>
      <protection hidden="1"/>
    </xf>
    <xf numFmtId="0" fontId="34" fillId="0" borderId="0" xfId="0" applyFont="1" applyFill="1" applyBorder="1" applyAlignment="1" applyProtection="1">
      <alignment horizontal="center" vertical="center"/>
      <protection hidden="1"/>
    </xf>
    <xf numFmtId="0" fontId="35" fillId="0" borderId="15" xfId="0" applyFont="1" applyFill="1" applyBorder="1" applyAlignment="1" applyProtection="1">
      <alignment horizontal="left" vertical="center"/>
      <protection hidden="1"/>
    </xf>
    <xf numFmtId="0" fontId="35" fillId="0" borderId="24" xfId="0" applyFont="1" applyFill="1" applyBorder="1" applyAlignment="1" applyProtection="1">
      <alignment horizontal="left" vertical="center"/>
      <protection hidden="1"/>
    </xf>
    <xf numFmtId="0" fontId="31" fillId="8" borderId="30" xfId="0" applyFont="1" applyFill="1" applyBorder="1" applyAlignment="1" applyProtection="1">
      <alignment horizontal="left"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2" fontId="32" fillId="0" borderId="0" xfId="0" applyNumberFormat="1" applyFont="1" applyFill="1" applyBorder="1" applyAlignment="1" applyProtection="1">
      <alignment horizontal="center" vertical="center"/>
      <protection hidden="1"/>
    </xf>
    <xf numFmtId="2" fontId="32" fillId="0" borderId="23" xfId="0" applyNumberFormat="1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1" fillId="4" borderId="0" xfId="0" applyFont="1" applyFill="1" applyAlignment="1" applyProtection="1">
      <alignment horizontal="center" vertical="center" wrapText="1"/>
      <protection hidden="1"/>
    </xf>
    <xf numFmtId="0" fontId="9" fillId="4" borderId="30" xfId="0" applyFont="1" applyFill="1" applyBorder="1" applyAlignment="1" applyProtection="1">
      <alignment horizontal="center"/>
      <protection hidden="1"/>
    </xf>
    <xf numFmtId="0" fontId="9" fillId="4" borderId="31" xfId="0" applyFont="1" applyFill="1" applyBorder="1" applyAlignment="1" applyProtection="1">
      <alignment horizontal="center"/>
      <protection hidden="1"/>
    </xf>
    <xf numFmtId="0" fontId="9" fillId="4" borderId="32" xfId="0" applyFont="1" applyFill="1" applyBorder="1" applyAlignment="1" applyProtection="1">
      <alignment horizontal="center"/>
      <protection hidden="1"/>
    </xf>
    <xf numFmtId="0" fontId="4" fillId="4" borderId="0" xfId="0" applyFont="1" applyFill="1" applyAlignment="1" applyProtection="1">
      <alignment horizontal="left" wrapText="1"/>
      <protection hidden="1"/>
    </xf>
    <xf numFmtId="0" fontId="12" fillId="3" borderId="27" xfId="0" applyFont="1" applyFill="1" applyBorder="1" applyAlignment="1" applyProtection="1">
      <alignment horizontal="justify" vertical="top" wrapText="1"/>
      <protection hidden="1"/>
    </xf>
    <xf numFmtId="0" fontId="12" fillId="3" borderId="33" xfId="0" applyFont="1" applyFill="1" applyBorder="1" applyAlignment="1" applyProtection="1">
      <alignment horizontal="justify" vertical="top" wrapText="1"/>
      <protection hidden="1"/>
    </xf>
    <xf numFmtId="0" fontId="12" fillId="3" borderId="0" xfId="0" applyFont="1" applyFill="1" applyBorder="1" applyAlignment="1" applyProtection="1">
      <alignment horizontal="justify" vertical="top" wrapText="1"/>
      <protection hidden="1"/>
    </xf>
    <xf numFmtId="0" fontId="12" fillId="3" borderId="34" xfId="0" applyFont="1" applyFill="1" applyBorder="1" applyAlignment="1" applyProtection="1">
      <alignment horizontal="justify" vertical="top" wrapText="1"/>
      <protection hidden="1"/>
    </xf>
    <xf numFmtId="0" fontId="12" fillId="3" borderId="19" xfId="0" applyFont="1" applyFill="1" applyBorder="1" applyAlignment="1" applyProtection="1">
      <alignment horizontal="justify" vertical="top" wrapText="1"/>
      <protection hidden="1"/>
    </xf>
    <xf numFmtId="0" fontId="12" fillId="3" borderId="35" xfId="0" applyFont="1" applyFill="1" applyBorder="1" applyAlignment="1" applyProtection="1">
      <alignment horizontal="justify" vertical="top" wrapText="1"/>
      <protection hidden="1"/>
    </xf>
    <xf numFmtId="0" fontId="2" fillId="6" borderId="30" xfId="0" applyFont="1" applyFill="1" applyBorder="1" applyAlignment="1" applyProtection="1">
      <alignment horizontal="center"/>
      <protection hidden="1"/>
    </xf>
    <xf numFmtId="0" fontId="2" fillId="6" borderId="31" xfId="0" applyFont="1" applyFill="1" applyBorder="1" applyAlignment="1" applyProtection="1">
      <alignment horizontal="center"/>
      <protection hidden="1"/>
    </xf>
    <xf numFmtId="0" fontId="2" fillId="6" borderId="32" xfId="0" applyFont="1" applyFill="1" applyBorder="1" applyAlignment="1" applyProtection="1">
      <alignment horizontal="center"/>
      <protection hidden="1"/>
    </xf>
    <xf numFmtId="0" fontId="12" fillId="7" borderId="0" xfId="0" applyFont="1" applyFill="1" applyAlignment="1" applyProtection="1">
      <alignment horizontal="center"/>
      <protection hidden="1"/>
    </xf>
    <xf numFmtId="0" fontId="2" fillId="5" borderId="19" xfId="0" applyFont="1" applyFill="1" applyBorder="1" applyAlignment="1" applyProtection="1">
      <alignment horizontal="center"/>
      <protection hidden="1"/>
    </xf>
    <xf numFmtId="0" fontId="12" fillId="3" borderId="36" xfId="0" applyFont="1" applyFill="1" applyBorder="1" applyAlignment="1" applyProtection="1">
      <alignment horizontal="center"/>
      <protection hidden="1"/>
    </xf>
    <xf numFmtId="0" fontId="12" fillId="3" borderId="0" xfId="0" applyFont="1" applyFill="1" applyBorder="1" applyAlignment="1" applyProtection="1">
      <alignment horizontal="center"/>
      <protection hidden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&#201;TODO TERZAGHI'!E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TOS-RESULTADOS'!A6"/><Relationship Id="rId2" Type="http://schemas.openxmlformats.org/officeDocument/2006/relationships/image" Target="../media/image2.wmf"/><Relationship Id="rId1" Type="http://schemas.openxmlformats.org/officeDocument/2006/relationships/hyperlink" Target="#'M&#201;TODO TERZAGHI'!E1"/><Relationship Id="rId4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1</xdr:col>
      <xdr:colOff>57150</xdr:colOff>
      <xdr:row>3</xdr:row>
      <xdr:rowOff>104775</xdr:rowOff>
    </xdr:to>
    <xdr:sp macro="" textlink="">
      <xdr:nvSpPr>
        <xdr:cNvPr id="14337" name="WordArt 1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5725" y="47625"/>
          <a:ext cx="733425" cy="742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/>
            </a:rPr>
            <a:t>Qc</a:t>
          </a:r>
        </a:p>
      </xdr:txBody>
    </xdr:sp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628650</xdr:colOff>
      <xdr:row>4</xdr:row>
      <xdr:rowOff>19050</xdr:rowOff>
    </xdr:to>
    <xdr:sp macro="" textlink="">
      <xdr:nvSpPr>
        <xdr:cNvPr id="14338" name="Text Box 2">
          <a:extLst>
            <a:ext uri="{FF2B5EF4-FFF2-40B4-BE49-F238E27FC236}">
              <a16:creationId xmlns:a16="http://schemas.microsoft.com/office/drawing/2014/main" id="{00000000-0008-0000-0000-000002380000}"/>
            </a:ext>
          </a:extLst>
        </xdr:cNvPr>
        <xdr:cNvSpPr txBox="1">
          <a:spLocks noChangeArrowheads="1"/>
        </xdr:cNvSpPr>
      </xdr:nvSpPr>
      <xdr:spPr bwMode="auto">
        <a:xfrm>
          <a:off x="762000" y="523875"/>
          <a:ext cx="6286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0" rIns="45720" bIns="45720" anchor="b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FFFFFF"/>
              </a:solidFill>
              <a:latin typeface="Arial Black"/>
            </a:rPr>
            <a:t>1.5</a:t>
          </a:r>
        </a:p>
      </xdr:txBody>
    </xdr:sp>
    <xdr:clientData/>
  </xdr:twoCellAnchor>
  <xdr:twoCellAnchor>
    <xdr:from>
      <xdr:col>1</xdr:col>
      <xdr:colOff>95250</xdr:colOff>
      <xdr:row>16</xdr:row>
      <xdr:rowOff>104775</xdr:rowOff>
    </xdr:from>
    <xdr:to>
      <xdr:col>4</xdr:col>
      <xdr:colOff>104775</xdr:colOff>
      <xdr:row>18</xdr:row>
      <xdr:rowOff>66675</xdr:rowOff>
    </xdr:to>
    <xdr:sp macro="" textlink="">
      <xdr:nvSpPr>
        <xdr:cNvPr id="14342" name="Text Box 6">
          <a:hlinkClick xmlns:r="http://schemas.openxmlformats.org/officeDocument/2006/relationships" r:id="rId1" tooltip="Pulse aqui"/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SpPr txBox="1">
          <a:spLocks noChangeArrowheads="1"/>
        </xdr:cNvSpPr>
      </xdr:nvSpPr>
      <xdr:spPr bwMode="auto">
        <a:xfrm>
          <a:off x="857250" y="3048000"/>
          <a:ext cx="2295525" cy="419100"/>
        </a:xfrm>
        <a:prstGeom prst="rect">
          <a:avLst/>
        </a:prstGeom>
        <a:solidFill>
          <a:srgbClr val="C0C0C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C0C0C0">
              <a:gamma/>
              <a:shade val="60000"/>
              <a:invGamma/>
            </a:srgbClr>
          </a:prstShdw>
        </a:effec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Qc- Capacidad de carga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31</xdr:row>
          <xdr:rowOff>228600</xdr:rowOff>
        </xdr:from>
        <xdr:to>
          <xdr:col>8</xdr:col>
          <xdr:colOff>704850</xdr:colOff>
          <xdr:row>55</xdr:row>
          <xdr:rowOff>85725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>
              <a:outerShdw dist="71842" dir="2700000" algn="ctr" rotWithShape="0">
                <a:srgbClr val="FFCC00" mc:Ignorable="a14" a14:legacySpreadsheetColorIndex="51"/>
              </a:outerShdw>
            </a:effectLst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42</xdr:row>
      <xdr:rowOff>104775</xdr:rowOff>
    </xdr:from>
    <xdr:to>
      <xdr:col>7</xdr:col>
      <xdr:colOff>619125</xdr:colOff>
      <xdr:row>45</xdr:row>
      <xdr:rowOff>95250</xdr:rowOff>
    </xdr:to>
    <xdr:pic>
      <xdr:nvPicPr>
        <xdr:cNvPr id="16419" name="Picture 5" descr="SY01265_">
          <a:hlinkClick xmlns:r="http://schemas.openxmlformats.org/officeDocument/2006/relationships" r:id="rId1" tooltip="VOLVER A &quot;DATOS / RESULTADOS&quot;"/>
          <a:extLst>
            <a:ext uri="{FF2B5EF4-FFF2-40B4-BE49-F238E27FC236}">
              <a16:creationId xmlns:a16="http://schemas.microsoft.com/office/drawing/2014/main" id="{00000000-0008-0000-0200-000023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24525" y="6905625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390525</xdr:colOff>
      <xdr:row>10</xdr:row>
      <xdr:rowOff>142875</xdr:rowOff>
    </xdr:from>
    <xdr:to>
      <xdr:col>7</xdr:col>
      <xdr:colOff>619125</xdr:colOff>
      <xdr:row>13</xdr:row>
      <xdr:rowOff>133350</xdr:rowOff>
    </xdr:to>
    <xdr:pic>
      <xdr:nvPicPr>
        <xdr:cNvPr id="16420" name="Picture 6" descr="SY01265_">
          <a:hlinkClick xmlns:r="http://schemas.openxmlformats.org/officeDocument/2006/relationships" r:id="rId1" tooltip="VOLVER A &quot;DATOS / RESULTADOS&quot;"/>
          <a:extLst>
            <a:ext uri="{FF2B5EF4-FFF2-40B4-BE49-F238E27FC236}">
              <a16:creationId xmlns:a16="http://schemas.microsoft.com/office/drawing/2014/main" id="{00000000-0008-0000-0200-000024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24525" y="1762125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381000</xdr:colOff>
      <xdr:row>26</xdr:row>
      <xdr:rowOff>0</xdr:rowOff>
    </xdr:from>
    <xdr:to>
      <xdr:col>7</xdr:col>
      <xdr:colOff>609600</xdr:colOff>
      <xdr:row>28</xdr:row>
      <xdr:rowOff>152400</xdr:rowOff>
    </xdr:to>
    <xdr:pic>
      <xdr:nvPicPr>
        <xdr:cNvPr id="16421" name="Picture 7" descr="SY01265_">
          <a:hlinkClick xmlns:r="http://schemas.openxmlformats.org/officeDocument/2006/relationships" r:id="rId3" tooltip="VOLVER A &quot;DATOS / RESULTADOS&quot;"/>
          <a:extLst>
            <a:ext uri="{FF2B5EF4-FFF2-40B4-BE49-F238E27FC236}">
              <a16:creationId xmlns:a16="http://schemas.microsoft.com/office/drawing/2014/main" id="{00000000-0008-0000-0200-000025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000" y="4210050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752475</xdr:colOff>
      <xdr:row>4</xdr:row>
      <xdr:rowOff>0</xdr:rowOff>
    </xdr:to>
    <xdr:pic>
      <xdr:nvPicPr>
        <xdr:cNvPr id="16422" name="Picture 10" descr="LogoQC">
          <a:extLst>
            <a:ext uri="{FF2B5EF4-FFF2-40B4-BE49-F238E27FC236}">
              <a16:creationId xmlns:a16="http://schemas.microsoft.com/office/drawing/2014/main" id="{00000000-0008-0000-0200-000026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151447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/Actualizaciones/LABSO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ARC23/Documents%20and%20Settings/Owner/My%20Documents/Actualizaciones/LABSO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(Data)"/>
      <sheetName val="Sieve (Report)"/>
      <sheetName val="Atterberg´s Limits"/>
      <sheetName val="Proctor (Data)"/>
      <sheetName val="Proctor (Report)"/>
      <sheetName val="Moisture"/>
      <sheetName val="Hydrometer"/>
      <sheetName val="Specifications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(Data)"/>
      <sheetName val="Sieve (Report)"/>
      <sheetName val="Atterberg´s Limits"/>
      <sheetName val="Proctor (Data)"/>
      <sheetName val="Proctor (Report)"/>
      <sheetName val="Moisture"/>
      <sheetName val="Hydrometer"/>
      <sheetName val="Specifications"/>
    </sheetNames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eliudcm@prodigy.net.mx?subject=Comentarios%20y%20aportaciones:Qc-Capacidad%20de%20carga" TargetMode="External"/><Relationship Id="rId1" Type="http://schemas.openxmlformats.org/officeDocument/2006/relationships/hyperlink" Target="mailto:eliud_cm@hotmail.com?subject=Comentarios%20y%20aportaciones%20Qc%201.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/>
  </sheetPr>
  <dimension ref="A1:J46"/>
  <sheetViews>
    <sheetView showGridLines="0" showRowColHeaders="0" showZeros="0" showOutlineSymbols="0" topLeftCell="A7" zoomScale="120" workbookViewId="0">
      <selection activeCell="A7" sqref="A7:H9"/>
    </sheetView>
  </sheetViews>
  <sheetFormatPr baseColWidth="10" defaultColWidth="10.85546875" defaultRowHeight="12.75"/>
  <cols>
    <col min="1" max="7" width="10.85546875" style="2"/>
    <col min="8" max="8" width="20.42578125" style="2" customWidth="1"/>
    <col min="9" max="16384" width="10.85546875" style="2"/>
  </cols>
  <sheetData>
    <row r="1" spans="1:10" ht="13.5" customHeight="1">
      <c r="A1" s="22"/>
      <c r="B1" s="150" t="s">
        <v>5</v>
      </c>
      <c r="C1" s="150"/>
      <c r="D1" s="151"/>
      <c r="E1" s="16"/>
      <c r="F1" s="16"/>
      <c r="G1" s="16"/>
      <c r="H1" s="1"/>
      <c r="I1" s="95"/>
      <c r="J1" s="95"/>
    </row>
    <row r="2" spans="1:10" ht="20.25">
      <c r="A2" s="23"/>
      <c r="B2" s="152"/>
      <c r="C2" s="152"/>
      <c r="D2" s="153"/>
      <c r="E2" s="16"/>
      <c r="F2" s="16"/>
      <c r="G2" s="16"/>
      <c r="H2" s="1"/>
      <c r="I2" s="95"/>
      <c r="J2" s="96"/>
    </row>
    <row r="3" spans="1:10" ht="20.25">
      <c r="A3" s="23"/>
      <c r="B3" s="152"/>
      <c r="C3" s="152"/>
      <c r="D3" s="153"/>
      <c r="E3" s="17" t="s">
        <v>6</v>
      </c>
      <c r="F3" s="146" t="s">
        <v>7</v>
      </c>
      <c r="G3" s="146"/>
      <c r="H3" s="146"/>
      <c r="I3" s="95"/>
      <c r="J3" s="95"/>
    </row>
    <row r="4" spans="1:10" ht="15.75" customHeight="1" thickBot="1">
      <c r="A4" s="24"/>
      <c r="B4" s="154"/>
      <c r="C4" s="154"/>
      <c r="D4" s="155"/>
      <c r="E4" s="17" t="s">
        <v>8</v>
      </c>
      <c r="F4" s="98">
        <v>38117</v>
      </c>
      <c r="G4" s="17" t="s">
        <v>9</v>
      </c>
      <c r="H4" s="98" t="s">
        <v>64</v>
      </c>
      <c r="I4" s="97"/>
      <c r="J4" s="97"/>
    </row>
    <row r="5" spans="1:10" ht="12.75" customHeight="1">
      <c r="A5" s="1"/>
      <c r="B5" s="1"/>
      <c r="C5" s="1"/>
      <c r="D5" s="1"/>
      <c r="E5" s="1"/>
      <c r="F5" s="1"/>
      <c r="G5" s="1"/>
      <c r="H5" s="1"/>
    </row>
    <row r="6" spans="1:10">
      <c r="A6" s="1"/>
      <c r="B6" s="1"/>
      <c r="C6" s="1"/>
      <c r="D6" s="1"/>
      <c r="E6" s="1"/>
      <c r="F6" s="1"/>
      <c r="G6" s="1"/>
      <c r="H6" s="1"/>
    </row>
    <row r="7" spans="1:10" ht="12.75" customHeight="1">
      <c r="A7" s="149" t="s">
        <v>49</v>
      </c>
      <c r="B7" s="149"/>
      <c r="C7" s="149"/>
      <c r="D7" s="149"/>
      <c r="E7" s="149"/>
      <c r="F7" s="149"/>
      <c r="G7" s="149"/>
      <c r="H7" s="149"/>
    </row>
    <row r="8" spans="1:10" ht="15" customHeight="1">
      <c r="A8" s="149"/>
      <c r="B8" s="149"/>
      <c r="C8" s="149"/>
      <c r="D8" s="149"/>
      <c r="E8" s="149"/>
      <c r="F8" s="149"/>
      <c r="G8" s="149"/>
      <c r="H8" s="149"/>
    </row>
    <row r="9" spans="1:10" ht="12.75" customHeight="1">
      <c r="A9" s="149"/>
      <c r="B9" s="149"/>
      <c r="C9" s="149"/>
      <c r="D9" s="149"/>
      <c r="E9" s="149"/>
      <c r="F9" s="149"/>
      <c r="G9" s="149"/>
      <c r="H9" s="149"/>
    </row>
    <row r="10" spans="1:10" ht="15" customHeight="1"/>
    <row r="11" spans="1:10" ht="12.75" customHeight="1">
      <c r="A11" s="147" t="s">
        <v>42</v>
      </c>
      <c r="B11" s="147"/>
      <c r="C11" s="147"/>
      <c r="D11" s="147"/>
      <c r="E11" s="147"/>
      <c r="F11" s="147"/>
      <c r="G11" s="147"/>
      <c r="H11" s="147"/>
    </row>
    <row r="12" spans="1:10" ht="12.75" customHeight="1">
      <c r="A12" s="147"/>
      <c r="B12" s="147"/>
      <c r="C12" s="147"/>
      <c r="D12" s="147"/>
      <c r="E12" s="147"/>
      <c r="F12" s="147"/>
      <c r="G12" s="147"/>
      <c r="H12" s="147"/>
    </row>
    <row r="13" spans="1:10" ht="12.75" customHeight="1">
      <c r="A13" s="147"/>
      <c r="B13" s="147"/>
      <c r="C13" s="147"/>
      <c r="D13" s="147"/>
      <c r="E13" s="147"/>
      <c r="F13" s="147"/>
      <c r="G13" s="147"/>
      <c r="H13" s="147"/>
    </row>
    <row r="14" spans="1:10" ht="12.75" customHeight="1">
      <c r="A14" s="147"/>
      <c r="B14" s="147"/>
      <c r="C14" s="147"/>
      <c r="D14" s="147"/>
      <c r="E14" s="147"/>
      <c r="F14" s="147"/>
      <c r="G14" s="147"/>
      <c r="H14" s="147"/>
    </row>
    <row r="15" spans="1:10" ht="15">
      <c r="A15" s="148" t="s">
        <v>10</v>
      </c>
      <c r="B15" s="148"/>
      <c r="C15" s="148"/>
      <c r="D15" s="148"/>
      <c r="E15" s="148"/>
      <c r="F15" s="148"/>
      <c r="G15" s="148"/>
      <c r="H15" s="148"/>
    </row>
    <row r="16" spans="1:10" ht="15" customHeight="1">
      <c r="A16" s="145" t="s">
        <v>35</v>
      </c>
      <c r="B16" s="145"/>
      <c r="C16" s="145"/>
      <c r="D16" s="145"/>
    </row>
    <row r="17" spans="1:8" ht="16.5">
      <c r="A17" s="18"/>
      <c r="B17" s="18"/>
      <c r="C17" s="18"/>
      <c r="D17" s="18"/>
      <c r="E17" s="18"/>
      <c r="F17" s="18"/>
      <c r="G17" s="18"/>
      <c r="H17" s="18"/>
    </row>
    <row r="18" spans="1:8" ht="19.5">
      <c r="A18" s="19" t="s">
        <v>11</v>
      </c>
      <c r="B18" s="20"/>
      <c r="C18" s="20"/>
      <c r="D18" s="20"/>
      <c r="E18" s="21"/>
      <c r="F18" s="21"/>
      <c r="G18" s="21"/>
      <c r="H18" s="21"/>
    </row>
    <row r="19" spans="1:8" ht="19.5">
      <c r="A19" s="18"/>
      <c r="B19" s="20"/>
      <c r="C19" s="20"/>
      <c r="D19" s="20"/>
      <c r="E19" s="18"/>
      <c r="F19" s="18"/>
      <c r="G19" s="18"/>
      <c r="H19" s="18"/>
    </row>
    <row r="20" spans="1:8" ht="16.5">
      <c r="A20" s="18"/>
      <c r="B20" s="18"/>
      <c r="C20" s="18"/>
      <c r="D20" s="18"/>
      <c r="E20" s="18"/>
      <c r="F20" s="18"/>
      <c r="G20" s="18"/>
      <c r="H20" s="18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</sheetData>
  <sheetProtection password="8F65" sheet="1" objects="1" scenarios="1" selectLockedCells="1" selectUnlockedCells="1"/>
  <mergeCells count="6">
    <mergeCell ref="A16:D16"/>
    <mergeCell ref="F3:H3"/>
    <mergeCell ref="A11:H14"/>
    <mergeCell ref="A15:H15"/>
    <mergeCell ref="A7:H9"/>
    <mergeCell ref="B1:D4"/>
  </mergeCells>
  <phoneticPr fontId="0" type="noConversion"/>
  <hyperlinks>
    <hyperlink ref="A16" r:id="rId1" tooltip="Escribe a:" display="eliud_cm@hotmail.com" xr:uid="{00000000-0004-0000-0000-000000000000}"/>
    <hyperlink ref="A16:D16" r:id="rId2" tooltip="Escribe a:" display="eliudcm@prodigy.net.mx" xr:uid="{00000000-0004-0000-0000-000001000000}"/>
  </hyperlinks>
  <printOptions horizontalCentered="1"/>
  <pageMargins left="0.75" right="0.75" top="3.24" bottom="1" header="0" footer="0"/>
  <headerFooter alignWithMargins="0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L96"/>
  <sheetViews>
    <sheetView tabSelected="1" zoomScale="98" zoomScaleNormal="98" zoomScaleSheetLayoutView="100" zoomScalePageLayoutView="150" workbookViewId="0">
      <selection activeCell="H19" sqref="H19"/>
    </sheetView>
  </sheetViews>
  <sheetFormatPr baseColWidth="10" defaultColWidth="10.85546875" defaultRowHeight="12.75"/>
  <cols>
    <col min="1" max="1" width="8.140625" style="2" customWidth="1"/>
    <col min="2" max="2" width="10.5703125" style="2" customWidth="1"/>
    <col min="3" max="3" width="9" style="2" customWidth="1"/>
    <col min="4" max="4" width="18.5703125" style="2" customWidth="1"/>
    <col min="5" max="5" width="11.7109375" style="2" customWidth="1"/>
    <col min="6" max="6" width="13" style="2" bestFit="1" customWidth="1"/>
    <col min="7" max="7" width="8.7109375" style="2" customWidth="1"/>
    <col min="8" max="8" width="19.28515625" style="2" customWidth="1"/>
    <col min="9" max="16384" width="10.85546875" style="2"/>
  </cols>
  <sheetData>
    <row r="3" spans="1:10" ht="13.5" thickBot="1"/>
    <row r="4" spans="1:10" ht="12.95" customHeight="1">
      <c r="A4" s="170" t="s">
        <v>65</v>
      </c>
      <c r="B4" s="171"/>
      <c r="C4" s="160" t="s">
        <v>4</v>
      </c>
      <c r="D4" s="160"/>
      <c r="E4" s="164" t="s">
        <v>87</v>
      </c>
      <c r="F4" s="164"/>
      <c r="G4" s="164"/>
      <c r="H4" s="164"/>
      <c r="I4" s="111"/>
      <c r="J4" s="112"/>
    </row>
    <row r="5" spans="1:10" ht="12.95" customHeight="1">
      <c r="A5" s="172"/>
      <c r="B5" s="173"/>
      <c r="C5" s="159" t="s">
        <v>2</v>
      </c>
      <c r="D5" s="159"/>
      <c r="E5" s="165" t="s">
        <v>88</v>
      </c>
      <c r="F5" s="165"/>
      <c r="G5" s="165"/>
      <c r="H5" s="165"/>
      <c r="I5" s="44"/>
      <c r="J5" s="113"/>
    </row>
    <row r="6" spans="1:10" ht="12.95" customHeight="1">
      <c r="A6" s="172"/>
      <c r="B6" s="173"/>
      <c r="C6" s="159" t="s">
        <v>1</v>
      </c>
      <c r="D6" s="159"/>
      <c r="E6" s="164" t="s">
        <v>69</v>
      </c>
      <c r="F6" s="164"/>
      <c r="G6" s="164"/>
      <c r="H6" s="164"/>
      <c r="I6" s="44"/>
      <c r="J6" s="113"/>
    </row>
    <row r="7" spans="1:10" ht="12.95" customHeight="1">
      <c r="A7" s="172"/>
      <c r="B7" s="173"/>
      <c r="C7" s="159" t="s">
        <v>43</v>
      </c>
      <c r="D7" s="159"/>
      <c r="E7" s="164" t="s">
        <v>70</v>
      </c>
      <c r="F7" s="164"/>
      <c r="G7" s="164"/>
      <c r="H7" s="164"/>
      <c r="I7" s="66"/>
      <c r="J7" s="141"/>
    </row>
    <row r="8" spans="1:10" ht="12.75" customHeight="1">
      <c r="A8" s="174"/>
      <c r="B8" s="175"/>
      <c r="C8" s="167" t="s">
        <v>0</v>
      </c>
      <c r="D8" s="167"/>
      <c r="E8" s="168">
        <v>46112</v>
      </c>
      <c r="F8" s="169"/>
      <c r="G8" s="169"/>
      <c r="H8" s="169"/>
      <c r="I8" s="67"/>
      <c r="J8" s="114"/>
    </row>
    <row r="9" spans="1:10" ht="22.15" customHeight="1">
      <c r="A9" s="161" t="s">
        <v>72</v>
      </c>
      <c r="B9" s="162"/>
      <c r="C9" s="162"/>
      <c r="D9" s="162"/>
      <c r="E9" s="162"/>
      <c r="F9" s="162"/>
      <c r="G9" s="162"/>
      <c r="H9" s="162"/>
      <c r="I9" s="162"/>
      <c r="J9" s="163"/>
    </row>
    <row r="10" spans="1:10" ht="22.15" customHeight="1">
      <c r="A10" s="166" t="s">
        <v>85</v>
      </c>
      <c r="B10" s="166"/>
      <c r="C10" s="166"/>
      <c r="D10" s="166"/>
      <c r="E10" s="166"/>
      <c r="F10" s="166"/>
      <c r="G10" s="166"/>
      <c r="H10" s="166"/>
      <c r="I10" s="166"/>
      <c r="J10" s="166"/>
    </row>
    <row r="11" spans="1:10" ht="22.15" customHeight="1">
      <c r="A11" s="166"/>
      <c r="B11" s="166"/>
      <c r="C11" s="166"/>
      <c r="D11" s="166"/>
      <c r="E11" s="166"/>
      <c r="F11" s="166"/>
      <c r="G11" s="166"/>
      <c r="H11" s="166"/>
      <c r="I11" s="166"/>
      <c r="J11" s="166"/>
    </row>
    <row r="12" spans="1:10" ht="22.15" customHeight="1">
      <c r="A12" s="166" t="s">
        <v>86</v>
      </c>
      <c r="B12" s="166"/>
      <c r="C12" s="166"/>
      <c r="D12" s="166"/>
      <c r="E12" s="166"/>
      <c r="F12" s="166"/>
      <c r="G12" s="166"/>
      <c r="H12" s="166"/>
      <c r="I12" s="166"/>
      <c r="J12" s="166"/>
    </row>
    <row r="13" spans="1:10" ht="2.25" customHeight="1">
      <c r="A13" s="166"/>
      <c r="B13" s="166"/>
      <c r="C13" s="166"/>
      <c r="D13" s="166"/>
      <c r="E13" s="166"/>
      <c r="F13" s="166"/>
      <c r="G13" s="166"/>
      <c r="H13" s="166"/>
      <c r="I13" s="166"/>
      <c r="J13" s="166"/>
    </row>
    <row r="14" spans="1:10" ht="21.75" hidden="1" customHeight="1">
      <c r="A14" s="166"/>
      <c r="B14" s="166"/>
      <c r="C14" s="166"/>
      <c r="D14" s="166"/>
      <c r="E14" s="166"/>
      <c r="F14" s="166"/>
      <c r="G14" s="166"/>
      <c r="H14" s="166"/>
      <c r="I14" s="166"/>
      <c r="J14" s="166"/>
    </row>
    <row r="15" spans="1:10" ht="21.75" customHeight="1">
      <c r="A15" s="166"/>
      <c r="B15" s="166"/>
      <c r="C15" s="166"/>
      <c r="D15" s="166"/>
      <c r="E15" s="166"/>
      <c r="F15" s="166"/>
      <c r="G15" s="166"/>
      <c r="H15" s="166"/>
      <c r="I15" s="166"/>
      <c r="J15" s="166"/>
    </row>
    <row r="16" spans="1:10" s="53" customFormat="1" ht="15.2" customHeight="1">
      <c r="A16" s="166"/>
      <c r="B16" s="166"/>
      <c r="C16" s="166"/>
      <c r="D16" s="166"/>
      <c r="E16" s="166"/>
      <c r="F16" s="166"/>
      <c r="G16" s="166"/>
      <c r="H16" s="166"/>
      <c r="I16" s="166"/>
      <c r="J16" s="166"/>
    </row>
    <row r="17" spans="1:12" s="52" customFormat="1" ht="15" customHeight="1">
      <c r="A17" s="137" t="s">
        <v>41</v>
      </c>
      <c r="B17" s="138"/>
      <c r="C17" s="138"/>
      <c r="D17" s="138"/>
      <c r="E17" s="51"/>
      <c r="F17" s="138"/>
      <c r="G17" s="138"/>
      <c r="H17" s="138"/>
      <c r="I17" s="138"/>
      <c r="J17" s="139"/>
    </row>
    <row r="18" spans="1:12" s="52" customFormat="1" ht="15" customHeight="1">
      <c r="A18" s="115"/>
      <c r="B18" s="51"/>
      <c r="C18" s="51"/>
      <c r="D18" s="51"/>
      <c r="E18" s="50"/>
      <c r="F18" s="51"/>
      <c r="G18" s="51"/>
      <c r="H18" s="51"/>
      <c r="I18" s="51"/>
      <c r="J18" s="116"/>
    </row>
    <row r="19" spans="1:12" s="52" customFormat="1" ht="15" customHeight="1">
      <c r="A19" s="115"/>
      <c r="B19" s="51"/>
      <c r="C19" s="156" t="s">
        <v>66</v>
      </c>
      <c r="D19" s="157"/>
      <c r="E19" s="157"/>
      <c r="F19" s="157"/>
      <c r="G19" s="158"/>
      <c r="H19" s="130">
        <v>16</v>
      </c>
      <c r="I19" s="51"/>
      <c r="J19" s="116"/>
    </row>
    <row r="20" spans="1:12" s="52" customFormat="1" ht="15" customHeight="1">
      <c r="A20" s="117"/>
      <c r="B20" s="51"/>
      <c r="C20" s="177" t="s">
        <v>75</v>
      </c>
      <c r="D20" s="177"/>
      <c r="E20" s="177"/>
      <c r="F20" s="177"/>
      <c r="G20" s="177"/>
      <c r="H20" s="131">
        <v>800</v>
      </c>
      <c r="I20" s="51"/>
      <c r="J20" s="116"/>
    </row>
    <row r="21" spans="1:12" s="52" customFormat="1" ht="15" customHeight="1">
      <c r="A21" s="117"/>
      <c r="B21" s="51"/>
      <c r="C21" s="177" t="s">
        <v>76</v>
      </c>
      <c r="D21" s="177"/>
      <c r="E21" s="177"/>
      <c r="F21" s="177"/>
      <c r="G21" s="177"/>
      <c r="H21" s="132">
        <f>C39</f>
        <v>15500</v>
      </c>
      <c r="I21" s="51"/>
      <c r="J21" s="116"/>
    </row>
    <row r="22" spans="1:12" s="52" customFormat="1" ht="15" customHeight="1">
      <c r="A22" s="117"/>
      <c r="B22" s="51"/>
      <c r="C22" s="177" t="s">
        <v>73</v>
      </c>
      <c r="D22" s="177"/>
      <c r="E22" s="177"/>
      <c r="F22" s="177"/>
      <c r="G22" s="177"/>
      <c r="H22" s="144">
        <v>2.8000000000000001E-2</v>
      </c>
      <c r="I22" s="51"/>
      <c r="J22" s="116"/>
    </row>
    <row r="23" spans="1:12" s="52" customFormat="1" ht="15" customHeight="1">
      <c r="A23" s="117"/>
      <c r="B23" s="51"/>
      <c r="C23" s="177" t="s">
        <v>74</v>
      </c>
      <c r="D23" s="177"/>
      <c r="E23" s="177"/>
      <c r="F23" s="177"/>
      <c r="G23" s="177"/>
      <c r="H23" s="133">
        <f>C37</f>
        <v>1.1221970804934338</v>
      </c>
      <c r="I23" s="51"/>
      <c r="J23" s="116"/>
    </row>
    <row r="24" spans="1:12" s="52" customFormat="1" ht="15" customHeight="1">
      <c r="A24" s="117"/>
      <c r="B24" s="51"/>
      <c r="C24" s="177" t="s">
        <v>71</v>
      </c>
      <c r="D24" s="177"/>
      <c r="E24" s="177"/>
      <c r="F24" s="177"/>
      <c r="G24" s="177"/>
      <c r="H24" s="131">
        <v>1.3</v>
      </c>
      <c r="I24" s="51"/>
      <c r="J24" s="116"/>
    </row>
    <row r="25" spans="1:12" s="52" customFormat="1" ht="15">
      <c r="A25" s="117"/>
      <c r="B25" s="51"/>
      <c r="C25" s="177" t="s">
        <v>80</v>
      </c>
      <c r="D25" s="177"/>
      <c r="E25" s="177"/>
      <c r="F25" s="177"/>
      <c r="G25" s="177"/>
      <c r="H25" s="131">
        <v>1.3</v>
      </c>
      <c r="I25" s="51"/>
      <c r="J25" s="116"/>
    </row>
    <row r="26" spans="1:12" s="52" customFormat="1" ht="15">
      <c r="A26" s="117"/>
      <c r="B26" s="51"/>
      <c r="C26" s="182" t="s">
        <v>82</v>
      </c>
      <c r="D26" s="157"/>
      <c r="E26" s="157"/>
      <c r="F26" s="157"/>
      <c r="G26" s="158"/>
      <c r="H26" s="131">
        <f>B*H25</f>
        <v>1.6900000000000002</v>
      </c>
      <c r="I26" s="51"/>
      <c r="J26" s="116"/>
    </row>
    <row r="27" spans="1:12" s="52" customFormat="1" ht="15">
      <c r="A27" s="117"/>
      <c r="B27" s="51"/>
      <c r="C27" s="177" t="s">
        <v>81</v>
      </c>
      <c r="D27" s="177"/>
      <c r="E27" s="177"/>
      <c r="F27" s="177"/>
      <c r="G27" s="177"/>
      <c r="H27" s="131">
        <f>C42*1000</f>
        <v>23.821339950372206</v>
      </c>
      <c r="I27" s="51"/>
      <c r="J27" s="116"/>
    </row>
    <row r="28" spans="1:12" s="52" customFormat="1" ht="15" customHeight="1">
      <c r="A28" s="117"/>
      <c r="B28" s="51"/>
      <c r="C28" s="68"/>
      <c r="D28" s="51"/>
      <c r="E28" s="51"/>
      <c r="F28" s="51"/>
      <c r="G28" s="69"/>
      <c r="H28" s="58"/>
      <c r="I28" s="51"/>
      <c r="J28" s="116"/>
    </row>
    <row r="29" spans="1:12" s="53" customFormat="1" ht="15" customHeight="1">
      <c r="A29" s="118" t="s">
        <v>48</v>
      </c>
      <c r="B29" s="102"/>
      <c r="C29" s="103"/>
      <c r="D29" s="103"/>
      <c r="E29" s="103"/>
      <c r="F29" s="103"/>
      <c r="G29" s="103"/>
      <c r="H29" s="103"/>
      <c r="I29" s="103"/>
      <c r="J29" s="119"/>
      <c r="L29" s="140">
        <f>(H27-12.3)/100</f>
        <v>0.11521339950372206</v>
      </c>
    </row>
    <row r="30" spans="1:12" s="53" customFormat="1" ht="15" hidden="1" customHeight="1">
      <c r="A30" s="120">
        <f>((((C33^2)+1))^0.5)+C33</f>
        <v>2.4142135623730949</v>
      </c>
      <c r="B30" s="107">
        <f>(((C33^2)+1)^0.5)+1</f>
        <v>2.4142135623730949</v>
      </c>
      <c r="C30" s="107">
        <f>1/3.1416</f>
        <v>0.31830914183855363</v>
      </c>
      <c r="D30" s="107"/>
      <c r="E30" s="107"/>
      <c r="F30" s="107"/>
      <c r="G30" s="107"/>
      <c r="H30" s="107"/>
      <c r="I30" s="107"/>
      <c r="J30" s="121"/>
    </row>
    <row r="31" spans="1:12" s="53" customFormat="1" ht="15" hidden="1" customHeight="1">
      <c r="A31" s="122">
        <f>(((C33^2)+1)^0.5)-C33</f>
        <v>0.41421356237309515</v>
      </c>
      <c r="B31" s="106">
        <f>(((C33^2)+1)^0.5)-1</f>
        <v>0.41421356237309515</v>
      </c>
      <c r="C31" s="106"/>
      <c r="D31" s="106"/>
      <c r="E31" s="106"/>
      <c r="F31" s="106"/>
      <c r="G31" s="106"/>
      <c r="H31" s="106"/>
      <c r="I31" s="106"/>
      <c r="J31" s="123"/>
    </row>
    <row r="32" spans="1:12" s="53" customFormat="1" ht="25.5">
      <c r="A32" s="70"/>
      <c r="B32" s="58"/>
      <c r="C32" s="105"/>
      <c r="D32" s="105"/>
      <c r="E32" s="104"/>
      <c r="F32" s="58"/>
      <c r="G32" s="47"/>
      <c r="H32" s="55"/>
      <c r="I32" s="58"/>
      <c r="J32" s="71"/>
    </row>
    <row r="33" spans="1:12" s="53" customFormat="1" ht="24.95" customHeight="1">
      <c r="A33" s="70"/>
      <c r="B33" s="135" t="s">
        <v>79</v>
      </c>
      <c r="C33" s="127">
        <f>H25/B</f>
        <v>1</v>
      </c>
      <c r="E33" s="184"/>
      <c r="F33" s="184"/>
      <c r="G33" s="184"/>
      <c r="H33" s="184"/>
      <c r="I33" s="184"/>
      <c r="J33" s="185"/>
    </row>
    <row r="34" spans="1:12" s="53" customFormat="1" ht="14.25" customHeight="1">
      <c r="A34" s="70"/>
      <c r="B34" s="109"/>
      <c r="C34" s="108"/>
      <c r="E34" s="184"/>
      <c r="F34" s="184"/>
      <c r="G34" s="184"/>
      <c r="H34" s="184"/>
      <c r="I34" s="184"/>
      <c r="J34" s="185"/>
    </row>
    <row r="35" spans="1:12" s="53" customFormat="1" ht="24.95" customHeight="1">
      <c r="A35" s="70"/>
      <c r="B35" s="135" t="s">
        <v>83</v>
      </c>
      <c r="C35" s="127">
        <f>Df/H26</f>
        <v>473.3727810650887</v>
      </c>
      <c r="E35" s="184"/>
      <c r="F35" s="184"/>
      <c r="G35" s="184"/>
      <c r="H35" s="184"/>
      <c r="I35" s="184"/>
      <c r="J35" s="185"/>
    </row>
    <row r="36" spans="1:12" s="53" customFormat="1" ht="15" customHeight="1">
      <c r="A36" s="70"/>
      <c r="B36" s="109"/>
      <c r="C36" s="109"/>
      <c r="E36" s="184"/>
      <c r="F36" s="184"/>
      <c r="G36" s="184"/>
      <c r="H36" s="184"/>
      <c r="I36" s="184"/>
      <c r="J36" s="185"/>
    </row>
    <row r="37" spans="1:12" s="53" customFormat="1" ht="24.95" customHeight="1">
      <c r="A37" s="70"/>
      <c r="B37" s="135" t="s">
        <v>84</v>
      </c>
      <c r="C37" s="128">
        <f>C30*((LN(A30/A31))+C33*LN(B30/B31))</f>
        <v>1.1221970804934338</v>
      </c>
      <c r="E37" s="184"/>
      <c r="F37" s="184"/>
      <c r="G37" s="184"/>
      <c r="H37" s="184"/>
      <c r="I37" s="184"/>
      <c r="J37" s="185"/>
    </row>
    <row r="38" spans="1:12" s="53" customFormat="1" ht="11.25" customHeight="1">
      <c r="A38" s="70"/>
      <c r="B38" s="109"/>
      <c r="C38" s="109"/>
      <c r="E38" s="184"/>
      <c r="F38" s="184"/>
      <c r="G38" s="184"/>
      <c r="H38" s="184"/>
      <c r="I38" s="184"/>
      <c r="J38" s="185"/>
    </row>
    <row r="39" spans="1:12" s="53" customFormat="1" ht="24.95" customHeight="1">
      <c r="A39" s="70"/>
      <c r="B39" s="135" t="s">
        <v>78</v>
      </c>
      <c r="C39" s="129">
        <f>((H19+15)*0.5)*1000</f>
        <v>15500</v>
      </c>
      <c r="E39" s="184"/>
      <c r="F39" s="184"/>
      <c r="G39" s="184"/>
      <c r="H39" s="184"/>
      <c r="I39" s="184"/>
      <c r="J39" s="185"/>
    </row>
    <row r="40" spans="1:12" s="53" customFormat="1" ht="15.75" customHeight="1">
      <c r="A40" s="70"/>
      <c r="B40" s="109"/>
      <c r="C40" s="109"/>
      <c r="E40" s="184"/>
      <c r="F40" s="184"/>
      <c r="G40" s="184"/>
      <c r="H40" s="184"/>
      <c r="I40" s="184"/>
      <c r="J40" s="185"/>
    </row>
    <row r="41" spans="1:12" s="53" customFormat="1" ht="15" hidden="1" customHeight="1">
      <c r="A41" s="70"/>
      <c r="B41" s="110"/>
      <c r="C41" s="110"/>
      <c r="E41" s="184"/>
      <c r="F41" s="184"/>
      <c r="G41" s="184"/>
      <c r="H41" s="184"/>
      <c r="I41" s="184"/>
      <c r="J41" s="185"/>
    </row>
    <row r="42" spans="1:12" s="53" customFormat="1" ht="24.95" customHeight="1">
      <c r="A42" s="70"/>
      <c r="B42" s="136" t="s">
        <v>77</v>
      </c>
      <c r="C42" s="128">
        <f>0.6*C35*(B/C39)</f>
        <v>2.3821339950372205E-2</v>
      </c>
      <c r="E42" s="184"/>
      <c r="F42" s="184"/>
      <c r="G42" s="184"/>
      <c r="H42" s="184"/>
      <c r="I42" s="184"/>
      <c r="J42" s="185"/>
    </row>
    <row r="43" spans="1:12" s="53" customFormat="1" ht="15" customHeight="1">
      <c r="A43" s="70"/>
      <c r="B43" s="58"/>
      <c r="C43" s="58"/>
      <c r="D43" s="58"/>
      <c r="E43" s="184"/>
      <c r="F43" s="184"/>
      <c r="G43" s="184"/>
      <c r="H43" s="184"/>
      <c r="I43" s="184"/>
      <c r="J43" s="185"/>
    </row>
    <row r="44" spans="1:12" s="53" customFormat="1" ht="15" customHeight="1">
      <c r="A44" s="70"/>
      <c r="B44" s="58"/>
      <c r="C44" s="58"/>
      <c r="D44" s="58"/>
      <c r="E44" s="184"/>
      <c r="F44" s="184"/>
      <c r="G44" s="184"/>
      <c r="H44" s="184"/>
      <c r="I44" s="184"/>
      <c r="J44" s="185"/>
    </row>
    <row r="45" spans="1:12" s="53" customFormat="1" ht="15" customHeight="1">
      <c r="A45" s="70"/>
      <c r="B45" s="58"/>
      <c r="C45" s="58"/>
      <c r="D45" s="58"/>
      <c r="E45" s="64"/>
      <c r="F45" s="65"/>
      <c r="G45" s="48"/>
      <c r="H45" s="60"/>
      <c r="I45" s="49"/>
      <c r="J45" s="72"/>
    </row>
    <row r="46" spans="1:12" s="53" customFormat="1" ht="15" customHeight="1">
      <c r="A46" s="70"/>
      <c r="B46" s="58"/>
      <c r="C46" s="58"/>
      <c r="D46" s="58"/>
      <c r="E46" s="64"/>
      <c r="F46" s="65"/>
      <c r="G46" s="48"/>
      <c r="H46" s="60"/>
      <c r="I46" s="49"/>
      <c r="J46" s="72"/>
    </row>
    <row r="47" spans="1:12" s="53" customFormat="1" ht="15" customHeight="1">
      <c r="A47" s="70"/>
      <c r="B47" s="58"/>
      <c r="C47" s="58"/>
      <c r="D47" s="58"/>
      <c r="E47" s="64"/>
      <c r="F47" s="65"/>
      <c r="G47" s="48"/>
      <c r="H47" s="60"/>
      <c r="I47" s="49"/>
      <c r="J47" s="72"/>
      <c r="K47" s="99"/>
      <c r="L47" s="101"/>
    </row>
    <row r="48" spans="1:12" s="53" customFormat="1" ht="15" customHeight="1">
      <c r="A48" s="70"/>
      <c r="B48" s="58"/>
      <c r="C48" s="58"/>
      <c r="D48" s="58"/>
      <c r="E48" s="64"/>
      <c r="F48" s="65"/>
      <c r="G48" s="48"/>
      <c r="H48" s="60"/>
      <c r="I48" s="49"/>
      <c r="J48" s="72"/>
      <c r="K48" s="99"/>
      <c r="L48" s="101"/>
    </row>
    <row r="49" spans="1:12" s="53" customFormat="1" ht="15" customHeight="1">
      <c r="A49" s="70"/>
      <c r="B49" s="58"/>
      <c r="C49" s="58"/>
      <c r="D49" s="58"/>
      <c r="E49" s="64"/>
      <c r="F49" s="65"/>
      <c r="G49" s="48"/>
      <c r="H49" s="60"/>
      <c r="I49" s="49"/>
      <c r="J49" s="72"/>
      <c r="K49" s="99"/>
      <c r="L49" s="101"/>
    </row>
    <row r="50" spans="1:12" s="53" customFormat="1" ht="15" customHeight="1">
      <c r="A50" s="70"/>
      <c r="B50" s="58"/>
      <c r="C50" s="58"/>
      <c r="D50" s="58"/>
      <c r="E50" s="64"/>
      <c r="F50" s="65"/>
      <c r="G50" s="48"/>
      <c r="H50" s="60"/>
      <c r="I50" s="49"/>
      <c r="J50" s="72"/>
      <c r="K50" s="99"/>
      <c r="L50" s="101"/>
    </row>
    <row r="51" spans="1:12" s="53" customFormat="1" ht="15" customHeight="1">
      <c r="A51" s="70"/>
      <c r="B51" s="58"/>
      <c r="C51" s="58"/>
      <c r="D51" s="58"/>
      <c r="E51" s="64"/>
      <c r="F51" s="65"/>
      <c r="G51" s="48"/>
      <c r="H51" s="60"/>
      <c r="I51" s="49"/>
      <c r="J51" s="72"/>
      <c r="K51" s="99"/>
      <c r="L51" s="101"/>
    </row>
    <row r="52" spans="1:12" s="53" customFormat="1" ht="15" customHeight="1">
      <c r="A52" s="70"/>
      <c r="B52" s="58"/>
      <c r="C52" s="58"/>
      <c r="D52" s="58"/>
      <c r="E52" s="64"/>
      <c r="F52" s="65"/>
      <c r="G52" s="48"/>
      <c r="H52" s="60"/>
      <c r="I52" s="49"/>
      <c r="J52" s="72"/>
      <c r="K52" s="99"/>
      <c r="L52" s="101"/>
    </row>
    <row r="53" spans="1:12" s="53" customFormat="1" ht="15" customHeight="1">
      <c r="A53" s="70"/>
      <c r="B53" s="58"/>
      <c r="C53" s="58"/>
      <c r="D53" s="58"/>
      <c r="E53" s="64"/>
      <c r="F53" s="65"/>
      <c r="G53" s="48"/>
      <c r="H53" s="60"/>
      <c r="I53" s="49"/>
      <c r="J53" s="72"/>
      <c r="K53" s="99"/>
      <c r="L53" s="101"/>
    </row>
    <row r="54" spans="1:12" s="53" customFormat="1" ht="15" customHeight="1">
      <c r="A54" s="70"/>
      <c r="B54" s="58"/>
      <c r="C54" s="58"/>
      <c r="D54" s="58"/>
      <c r="E54" s="64"/>
      <c r="F54" s="65"/>
      <c r="G54" s="48"/>
      <c r="H54" s="60"/>
      <c r="I54" s="49"/>
      <c r="J54" s="72"/>
      <c r="K54" s="99"/>
      <c r="L54" s="101"/>
    </row>
    <row r="55" spans="1:12" s="53" customFormat="1" ht="15" customHeight="1">
      <c r="A55" s="70"/>
      <c r="B55" s="58"/>
      <c r="C55" s="58"/>
      <c r="D55" s="58"/>
      <c r="E55" s="64"/>
      <c r="F55" s="65"/>
      <c r="G55" s="48"/>
      <c r="H55" s="60"/>
      <c r="I55" s="49"/>
      <c r="J55" s="72"/>
      <c r="K55" s="99"/>
      <c r="L55" s="101"/>
    </row>
    <row r="56" spans="1:12" s="53" customFormat="1" ht="15" customHeight="1">
      <c r="A56" s="134" t="s">
        <v>67</v>
      </c>
      <c r="B56" s="56"/>
      <c r="C56" s="56"/>
      <c r="D56" s="58"/>
      <c r="E56" s="64"/>
      <c r="F56" s="65"/>
      <c r="G56" s="48"/>
      <c r="H56" s="60"/>
      <c r="I56" s="49"/>
      <c r="J56" s="72"/>
      <c r="K56" s="99"/>
      <c r="L56" s="101"/>
    </row>
    <row r="57" spans="1:12" s="53" customFormat="1" ht="15" customHeight="1" thickBot="1">
      <c r="A57" s="180" t="s">
        <v>68</v>
      </c>
      <c r="B57" s="181"/>
      <c r="C57" s="181"/>
      <c r="D57" s="76"/>
      <c r="E57" s="74"/>
      <c r="F57" s="75"/>
      <c r="G57" s="124"/>
      <c r="H57" s="125"/>
      <c r="I57" s="73"/>
      <c r="J57" s="126"/>
      <c r="K57" s="99"/>
      <c r="L57" s="101"/>
    </row>
    <row r="58" spans="1:12" s="53" customFormat="1" ht="15" customHeight="1">
      <c r="C58" s="58"/>
      <c r="D58" s="58"/>
      <c r="E58" s="64"/>
      <c r="F58" s="65"/>
      <c r="G58" s="99"/>
      <c r="H58" s="100"/>
      <c r="I58" s="49"/>
      <c r="J58" s="48"/>
      <c r="K58" s="99"/>
      <c r="L58" s="101"/>
    </row>
    <row r="59" spans="1:12" s="58" customFormat="1" ht="15" customHeight="1">
      <c r="E59" s="64"/>
      <c r="F59" s="65"/>
      <c r="G59" s="99"/>
      <c r="H59" s="99"/>
      <c r="I59" s="49"/>
      <c r="J59" s="48"/>
      <c r="K59" s="99"/>
      <c r="L59" s="101"/>
    </row>
    <row r="60" spans="1:12" s="58" customFormat="1" ht="15" customHeight="1">
      <c r="E60" s="64"/>
      <c r="F60" s="65"/>
      <c r="G60" s="99"/>
      <c r="H60" s="99"/>
      <c r="I60" s="49"/>
      <c r="J60" s="48"/>
    </row>
    <row r="61" spans="1:12" s="58" customFormat="1" ht="15" customHeight="1">
      <c r="E61" s="64"/>
      <c r="F61" s="65"/>
      <c r="G61" s="99"/>
      <c r="H61" s="99"/>
      <c r="I61" s="49"/>
      <c r="J61" s="48"/>
    </row>
    <row r="62" spans="1:12" s="58" customFormat="1" ht="15" customHeight="1">
      <c r="E62" s="64"/>
      <c r="F62" s="65"/>
      <c r="G62" s="99"/>
      <c r="H62" s="99"/>
      <c r="I62" s="49"/>
      <c r="J62" s="48"/>
    </row>
    <row r="63" spans="1:12" s="58" customFormat="1" ht="15" customHeight="1">
      <c r="E63" s="64"/>
      <c r="F63" s="65"/>
      <c r="G63" s="99"/>
      <c r="H63" s="99"/>
      <c r="I63" s="49"/>
      <c r="J63" s="48"/>
    </row>
    <row r="64" spans="1:12" s="58" customFormat="1" ht="15" customHeight="1">
      <c r="E64" s="64"/>
      <c r="F64" s="65"/>
      <c r="G64" s="99"/>
      <c r="H64" s="99"/>
      <c r="I64" s="49"/>
      <c r="J64" s="48"/>
    </row>
    <row r="65" spans="1:10" s="58" customFormat="1" ht="15" customHeight="1">
      <c r="E65" s="64"/>
      <c r="F65" s="65"/>
      <c r="G65" s="48"/>
      <c r="H65" s="60"/>
      <c r="I65" s="49"/>
      <c r="J65" s="48"/>
    </row>
    <row r="66" spans="1:10" s="58" customFormat="1" ht="15" customHeight="1">
      <c r="E66" s="64"/>
      <c r="F66" s="65"/>
      <c r="G66" s="48"/>
      <c r="H66" s="60"/>
      <c r="I66" s="49"/>
      <c r="J66" s="48"/>
    </row>
    <row r="67" spans="1:10" s="58" customFormat="1" ht="15" customHeight="1">
      <c r="E67" s="64"/>
      <c r="F67" s="65"/>
      <c r="G67" s="48"/>
      <c r="H67" s="60"/>
      <c r="I67" s="49"/>
      <c r="J67" s="48"/>
    </row>
    <row r="68" spans="1:10" s="58" customFormat="1" ht="15" customHeight="1">
      <c r="E68" s="64"/>
      <c r="F68" s="65"/>
      <c r="G68" s="48"/>
      <c r="H68" s="60"/>
      <c r="I68" s="49"/>
      <c r="J68" s="48"/>
    </row>
    <row r="69" spans="1:10" s="58" customFormat="1" ht="15" customHeight="1">
      <c r="D69" s="56"/>
      <c r="E69" s="56"/>
      <c r="F69" s="56"/>
      <c r="G69" s="56"/>
      <c r="H69" s="56"/>
      <c r="I69" s="56"/>
      <c r="J69" s="56"/>
    </row>
    <row r="70" spans="1:10" s="58" customFormat="1" ht="15" customHeight="1">
      <c r="D70" s="142"/>
      <c r="E70" s="142"/>
      <c r="F70" s="142"/>
      <c r="G70" s="142"/>
      <c r="H70" s="142"/>
      <c r="I70" s="142"/>
      <c r="J70" s="142"/>
    </row>
    <row r="71" spans="1:10" s="58" customFormat="1" ht="15" customHeight="1">
      <c r="E71" s="45"/>
      <c r="F71" s="46"/>
      <c r="H71" s="57"/>
    </row>
    <row r="72" spans="1:10" s="58" customFormat="1" ht="15" customHeight="1">
      <c r="E72" s="45"/>
      <c r="F72" s="46"/>
      <c r="H72" s="57"/>
    </row>
    <row r="73" spans="1:10" s="58" customFormat="1" ht="15" customHeight="1">
      <c r="E73" s="45"/>
      <c r="F73" s="46"/>
    </row>
    <row r="74" spans="1:10" s="58" customFormat="1" ht="15" customHeight="1">
      <c r="C74" s="54"/>
      <c r="E74" s="45"/>
      <c r="F74" s="46"/>
      <c r="G74" s="62"/>
    </row>
    <row r="75" spans="1:10" s="58" customFormat="1" ht="15" customHeight="1">
      <c r="C75" s="54"/>
      <c r="E75" s="64"/>
      <c r="F75" s="65"/>
      <c r="G75" s="48"/>
      <c r="H75" s="48"/>
    </row>
    <row r="76" spans="1:10" s="58" customFormat="1" ht="15" customHeight="1">
      <c r="C76" s="54"/>
      <c r="G76" s="49"/>
      <c r="H76" s="48"/>
    </row>
    <row r="77" spans="1:10" s="58" customFormat="1" ht="1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</row>
    <row r="78" spans="1:10" s="58" customFormat="1" ht="1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</row>
    <row r="79" spans="1:10" s="58" customFormat="1" ht="1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</row>
    <row r="80" spans="1:10" s="58" customFormat="1" ht="1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</row>
    <row r="81" spans="1:10" s="58" customFormat="1" ht="1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</row>
    <row r="82" spans="1:10" s="58" customFormat="1" ht="15" customHeight="1">
      <c r="A82" s="142"/>
      <c r="B82" s="142"/>
      <c r="C82" s="142"/>
      <c r="D82" s="142"/>
      <c r="E82" s="142"/>
      <c r="F82" s="142"/>
      <c r="G82" s="142"/>
      <c r="H82" s="142"/>
      <c r="I82" s="142"/>
      <c r="J82" s="142"/>
    </row>
    <row r="83" spans="1:10" s="58" customFormat="1" ht="15" customHeight="1">
      <c r="E83" s="45"/>
      <c r="F83" s="46"/>
      <c r="G83" s="61"/>
    </row>
    <row r="84" spans="1:10" s="58" customFormat="1" ht="15" customHeight="1">
      <c r="E84" s="45"/>
      <c r="F84" s="46"/>
      <c r="G84" s="61"/>
    </row>
    <row r="85" spans="1:10" s="58" customFormat="1" ht="15" customHeight="1">
      <c r="E85" s="45"/>
      <c r="F85" s="46"/>
      <c r="H85" s="63"/>
    </row>
    <row r="86" spans="1:10" s="58" customFormat="1" ht="15" customHeight="1">
      <c r="B86" s="59"/>
      <c r="E86" s="45"/>
      <c r="F86" s="46"/>
      <c r="H86" s="63"/>
    </row>
    <row r="87" spans="1:10" s="58" customFormat="1" ht="15" customHeight="1">
      <c r="B87" s="59"/>
      <c r="C87" s="45"/>
      <c r="D87" s="49"/>
      <c r="E87" s="64"/>
      <c r="F87" s="65"/>
      <c r="H87" s="63"/>
    </row>
    <row r="88" spans="1:10" s="3" customFormat="1" ht="12.75" customHeight="1">
      <c r="C88" s="32"/>
      <c r="E88" s="31"/>
      <c r="H88" s="30"/>
    </row>
    <row r="89" spans="1:10" s="44" customFormat="1">
      <c r="A89" s="143"/>
      <c r="B89" s="143"/>
      <c r="C89" s="143"/>
      <c r="F89" s="42"/>
      <c r="G89" s="3"/>
      <c r="H89" s="3"/>
      <c r="I89" s="77"/>
      <c r="J89" s="77"/>
    </row>
    <row r="90" spans="1:10" s="44" customForma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s="44" customFormat="1">
      <c r="A91" s="34"/>
      <c r="B91" s="3"/>
      <c r="C91" s="3"/>
      <c r="D91" s="33"/>
      <c r="E91" s="31"/>
      <c r="F91" s="34"/>
      <c r="G91" s="3"/>
      <c r="H91" s="3"/>
      <c r="I91" s="33"/>
      <c r="J91" s="31"/>
    </row>
    <row r="92" spans="1:10" s="44" customForma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s="44" customFormat="1">
      <c r="A93" s="34"/>
      <c r="B93" s="3"/>
      <c r="C93" s="3"/>
      <c r="D93" s="33"/>
      <c r="E93" s="31"/>
      <c r="F93" s="3"/>
      <c r="G93" s="3"/>
      <c r="H93" s="3"/>
      <c r="I93" s="3"/>
      <c r="J93" s="3"/>
    </row>
    <row r="94" spans="1:10" s="44" customForma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s="44" customFormat="1">
      <c r="A95" s="34"/>
      <c r="B95" s="3"/>
      <c r="C95" s="3"/>
      <c r="D95" s="33"/>
      <c r="E95" s="31"/>
      <c r="F95" s="3"/>
      <c r="G95" s="3"/>
      <c r="H95" s="3"/>
      <c r="I95" s="3"/>
      <c r="J95" s="3"/>
    </row>
    <row r="96" spans="1:10">
      <c r="F96" s="3"/>
      <c r="G96" s="43"/>
      <c r="H96" s="43"/>
      <c r="I96" s="43"/>
      <c r="J96" s="43"/>
    </row>
  </sheetData>
  <mergeCells count="30">
    <mergeCell ref="A81:J81"/>
    <mergeCell ref="C20:G20"/>
    <mergeCell ref="C21:G21"/>
    <mergeCell ref="C22:G22"/>
    <mergeCell ref="C23:G23"/>
    <mergeCell ref="C24:G24"/>
    <mergeCell ref="C25:G25"/>
    <mergeCell ref="C27:G27"/>
    <mergeCell ref="A77:J77"/>
    <mergeCell ref="A78:J78"/>
    <mergeCell ref="A57:C57"/>
    <mergeCell ref="C26:G26"/>
    <mergeCell ref="A79:J79"/>
    <mergeCell ref="A80:J80"/>
    <mergeCell ref="E33:J44"/>
    <mergeCell ref="C19:G19"/>
    <mergeCell ref="C5:D5"/>
    <mergeCell ref="C4:D4"/>
    <mergeCell ref="A9:J9"/>
    <mergeCell ref="E4:H4"/>
    <mergeCell ref="E5:H5"/>
    <mergeCell ref="E6:H6"/>
    <mergeCell ref="E7:H7"/>
    <mergeCell ref="C7:D7"/>
    <mergeCell ref="C6:D6"/>
    <mergeCell ref="A10:J11"/>
    <mergeCell ref="C8:D8"/>
    <mergeCell ref="E8:H8"/>
    <mergeCell ref="A12:J16"/>
    <mergeCell ref="A4:B8"/>
  </mergeCells>
  <phoneticPr fontId="30" type="noConversion"/>
  <printOptions horizontalCentered="1"/>
  <pageMargins left="0.39370078740157483" right="0.39370078740157483" top="0.31496062992125984" bottom="0.19685039370078741" header="0" footer="0.59055118110236227"/>
  <pageSetup scale="71" orientation="portrait" horizontalDpi="360" verticalDpi="360" r:id="rId1"/>
  <headerFooter alignWithMargins="0">
    <oddFooter>&amp;L&amp;"Arial,Cursiva"&amp;8Qc-Capacidad de Carga(v1.5)&amp;R&amp;"Arial,Cursiva"&amp;8&amp;A</oddFooter>
  </headerFooter>
  <drawing r:id="rId2"/>
  <legacyDrawing r:id="rId3"/>
  <oleObjects>
    <mc:AlternateContent xmlns:mc="http://schemas.openxmlformats.org/markup-compatibility/2006">
      <mc:Choice Requires="x14">
        <oleObject progId="Drawing" shapeId="3073" r:id="rId4">
          <objectPr defaultSize="0" autoPict="0" r:id="rId5">
            <anchor moveWithCells="1">
              <from>
                <xdr:col>3</xdr:col>
                <xdr:colOff>361950</xdr:colOff>
                <xdr:row>31</xdr:row>
                <xdr:rowOff>228600</xdr:rowOff>
              </from>
              <to>
                <xdr:col>8</xdr:col>
                <xdr:colOff>704850</xdr:colOff>
                <xdr:row>55</xdr:row>
                <xdr:rowOff>85725</xdr:rowOff>
              </to>
            </anchor>
          </objectPr>
        </oleObject>
      </mc:Choice>
      <mc:Fallback>
        <oleObject progId="Drawing" shapeId="3073" r:id="rId4"/>
      </mc:Fallback>
    </mc:AlternateContent>
  </oleObjec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pageSetUpPr autoPageBreaks="0"/>
  </sheetPr>
  <dimension ref="A1:T89"/>
  <sheetViews>
    <sheetView showGridLines="0" showRowColHeaders="0" showOutlineSymbols="0" zoomScale="120" workbookViewId="0">
      <pane ySplit="5" topLeftCell="A15" activePane="bottomLeft" state="frozen"/>
      <selection activeCell="D11" sqref="D11"/>
      <selection pane="bottomLeft" activeCell="D11" sqref="D11"/>
    </sheetView>
  </sheetViews>
  <sheetFormatPr baseColWidth="10" defaultColWidth="10.85546875" defaultRowHeight="12.75"/>
  <cols>
    <col min="1" max="16384" width="10.85546875" style="2"/>
  </cols>
  <sheetData>
    <row r="1" spans="1:20" ht="12.75" customHeight="1">
      <c r="A1" s="78"/>
      <c r="B1" s="79"/>
      <c r="C1" s="193" t="s">
        <v>63</v>
      </c>
      <c r="D1" s="193"/>
      <c r="E1" s="193"/>
      <c r="F1" s="193"/>
      <c r="G1" s="193"/>
      <c r="H1" s="194"/>
      <c r="I1" s="80"/>
      <c r="J1" s="81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>
      <c r="A2" s="83"/>
      <c r="B2" s="84"/>
      <c r="C2" s="195"/>
      <c r="D2" s="195"/>
      <c r="E2" s="195"/>
      <c r="F2" s="195"/>
      <c r="G2" s="195"/>
      <c r="H2" s="196"/>
      <c r="I2" s="80"/>
      <c r="J2" s="81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>
      <c r="A3" s="83"/>
      <c r="B3" s="84"/>
      <c r="C3" s="195"/>
      <c r="D3" s="195"/>
      <c r="E3" s="195"/>
      <c r="F3" s="195"/>
      <c r="G3" s="195"/>
      <c r="H3" s="196"/>
      <c r="I3" s="80"/>
      <c r="J3" s="81"/>
      <c r="K3" s="82"/>
      <c r="L3" s="82"/>
      <c r="M3" s="82"/>
      <c r="N3" s="82"/>
      <c r="O3" s="82"/>
      <c r="P3" s="82"/>
      <c r="Q3" s="82"/>
      <c r="R3" s="82"/>
      <c r="S3" s="82"/>
      <c r="T3" s="82"/>
    </row>
    <row r="4" spans="1:20">
      <c r="A4" s="85"/>
      <c r="B4" s="86"/>
      <c r="C4" s="197"/>
      <c r="D4" s="197"/>
      <c r="E4" s="197"/>
      <c r="F4" s="197"/>
      <c r="G4" s="197"/>
      <c r="H4" s="198"/>
      <c r="I4" s="80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20">
      <c r="A5" s="199" t="s">
        <v>51</v>
      </c>
      <c r="B5" s="200"/>
      <c r="C5" s="200"/>
      <c r="D5" s="200"/>
      <c r="E5" s="200"/>
      <c r="F5" s="200"/>
      <c r="G5" s="200"/>
      <c r="H5" s="20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20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spans="1:20">
      <c r="A7" s="202" t="s">
        <v>12</v>
      </c>
      <c r="B7" s="202"/>
      <c r="C7" s="202"/>
      <c r="D7" s="202"/>
      <c r="E7" s="202"/>
      <c r="F7" s="202"/>
      <c r="G7" s="202"/>
      <c r="H7" s="20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>
      <c r="A8" s="87" t="s">
        <v>50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</row>
    <row r="9" spans="1:20">
      <c r="A9" s="82" t="s">
        <v>21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</row>
    <row r="10" spans="1:20">
      <c r="A10" s="82" t="s">
        <v>22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</row>
    <row r="11" spans="1:20">
      <c r="A11" s="82" t="s">
        <v>23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</row>
    <row r="12" spans="1:20">
      <c r="A12" s="82" t="s">
        <v>24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</row>
    <row r="13" spans="1:20">
      <c r="A13" s="82" t="s">
        <v>26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 spans="1:20">
      <c r="A14" s="82" t="s">
        <v>25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</row>
    <row r="15" spans="1:20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</row>
    <row r="16" spans="1:20">
      <c r="A16" s="189" t="s">
        <v>3</v>
      </c>
      <c r="B16" s="190"/>
      <c r="C16" s="190"/>
      <c r="D16" s="190"/>
      <c r="E16" s="190"/>
      <c r="F16" s="190"/>
      <c r="G16" s="190"/>
      <c r="H16" s="19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</row>
    <row r="17" spans="1:20">
      <c r="A17" s="186" t="s">
        <v>16</v>
      </c>
      <c r="B17" s="186"/>
      <c r="C17" s="186"/>
      <c r="D17" s="89"/>
      <c r="E17" s="89"/>
      <c r="F17" s="89"/>
      <c r="G17" s="89"/>
      <c r="H17" s="89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</row>
    <row r="18" spans="1:20">
      <c r="A18" s="187" t="s">
        <v>15</v>
      </c>
      <c r="B18" s="187"/>
      <c r="C18" s="187"/>
      <c r="D18" s="187"/>
      <c r="E18" s="89"/>
      <c r="F18" s="89"/>
      <c r="G18" s="89"/>
      <c r="H18" s="89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</row>
    <row r="19" spans="1:20">
      <c r="A19" s="186" t="s">
        <v>29</v>
      </c>
      <c r="B19" s="186"/>
      <c r="C19" s="186"/>
      <c r="D19" s="89"/>
      <c r="E19" s="89"/>
      <c r="F19" s="89"/>
      <c r="G19" s="89"/>
      <c r="H19" s="89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</row>
    <row r="20" spans="1:20">
      <c r="A20" s="187" t="s">
        <v>14</v>
      </c>
      <c r="B20" s="187"/>
      <c r="C20" s="187"/>
      <c r="D20" s="89"/>
      <c r="E20" s="89"/>
      <c r="F20" s="89"/>
      <c r="G20" s="89"/>
      <c r="H20" s="89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</row>
    <row r="21" spans="1:20">
      <c r="A21" s="90" t="s">
        <v>17</v>
      </c>
      <c r="B21" s="89"/>
      <c r="C21" s="89"/>
      <c r="D21" s="89"/>
      <c r="E21" s="89"/>
      <c r="F21" s="89"/>
      <c r="G21" s="89"/>
      <c r="H21" s="89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</row>
    <row r="22" spans="1:20" ht="12.75" customHeight="1">
      <c r="A22" s="192" t="s">
        <v>28</v>
      </c>
      <c r="B22" s="192"/>
      <c r="C22" s="192"/>
      <c r="D22" s="192"/>
      <c r="E22" s="192"/>
      <c r="F22" s="192"/>
      <c r="G22" s="192"/>
      <c r="H22" s="19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>
      <c r="A23" s="192"/>
      <c r="B23" s="192"/>
      <c r="C23" s="192"/>
      <c r="D23" s="192"/>
      <c r="E23" s="192"/>
      <c r="F23" s="192"/>
      <c r="G23" s="192"/>
      <c r="H23" s="19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>
      <c r="A24" s="192"/>
      <c r="B24" s="192"/>
      <c r="C24" s="192"/>
      <c r="D24" s="192"/>
      <c r="E24" s="192"/>
      <c r="F24" s="192"/>
      <c r="G24" s="192"/>
      <c r="H24" s="19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</row>
    <row r="25" spans="1:20">
      <c r="A25" s="88" t="s">
        <v>52</v>
      </c>
      <c r="B25" s="88"/>
      <c r="C25" s="88"/>
      <c r="D25" s="89"/>
      <c r="E25" s="89"/>
      <c r="F25" s="89"/>
      <c r="G25" s="89"/>
      <c r="H25" s="89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>
      <c r="A26" s="187" t="s">
        <v>13</v>
      </c>
      <c r="B26" s="187"/>
      <c r="C26" s="187"/>
      <c r="D26" s="187"/>
      <c r="E26" s="187"/>
      <c r="F26" s="187"/>
      <c r="G26" s="89"/>
      <c r="H26" s="89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</row>
    <row r="27" spans="1:20">
      <c r="A27" s="90" t="s">
        <v>53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20">
      <c r="A28" s="91" t="s">
        <v>54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20">
      <c r="A29" s="90" t="s">
        <v>55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</row>
    <row r="30" spans="1:20">
      <c r="A30" s="92" t="s">
        <v>56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</row>
    <row r="31" spans="1:20">
      <c r="A31" s="92" t="s">
        <v>57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</row>
    <row r="32" spans="1:20">
      <c r="A32" s="92" t="s">
        <v>58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</row>
    <row r="33" spans="1:20">
      <c r="A33" s="92" t="s">
        <v>59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20">
      <c r="A34" s="92" t="s">
        <v>60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0">
      <c r="A35" s="90" t="s">
        <v>18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</row>
    <row r="36" spans="1:20">
      <c r="A36" s="187" t="s">
        <v>30</v>
      </c>
      <c r="B36" s="187"/>
      <c r="C36" s="187"/>
      <c r="D36" s="187"/>
      <c r="E36" s="187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</row>
    <row r="37" spans="1:20">
      <c r="A37" s="93" t="s">
        <v>31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</row>
    <row r="38" spans="1:20">
      <c r="A38" s="93" t="s">
        <v>32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</row>
    <row r="39" spans="1:20">
      <c r="A39" s="93" t="s">
        <v>33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>
      <c r="A41" s="189" t="s">
        <v>61</v>
      </c>
      <c r="B41" s="190"/>
      <c r="C41" s="190"/>
      <c r="D41" s="190"/>
      <c r="E41" s="190"/>
      <c r="F41" s="190"/>
      <c r="G41" s="190"/>
      <c r="H41" s="191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 spans="1:20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</row>
    <row r="43" spans="1:20">
      <c r="A43" s="92" t="s">
        <v>19</v>
      </c>
      <c r="B43" s="94"/>
      <c r="C43" s="94"/>
      <c r="D43" s="94"/>
      <c r="E43" s="94"/>
      <c r="F43" s="94"/>
      <c r="G43" s="94"/>
      <c r="H43" s="94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20">
      <c r="A44" s="91" t="s">
        <v>20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</row>
    <row r="45" spans="1:20">
      <c r="A45" s="91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</row>
    <row r="46" spans="1:20">
      <c r="A46" s="82" t="s">
        <v>27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</row>
    <row r="47" spans="1:20">
      <c r="A47" s="82" t="s">
        <v>62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</row>
    <row r="48" spans="1:20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</row>
    <row r="49" spans="1:20">
      <c r="A49" s="188" t="s">
        <v>34</v>
      </c>
      <c r="B49" s="188"/>
      <c r="C49" s="188"/>
      <c r="D49" s="188"/>
      <c r="E49" s="188"/>
      <c r="F49" s="188"/>
      <c r="G49" s="188"/>
      <c r="H49" s="188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</row>
    <row r="50" spans="1:20">
      <c r="A50" s="188"/>
      <c r="B50" s="188"/>
      <c r="C50" s="188"/>
      <c r="D50" s="188"/>
      <c r="E50" s="188"/>
      <c r="F50" s="188"/>
      <c r="G50" s="188"/>
      <c r="H50" s="188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</row>
    <row r="51" spans="1:20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</row>
    <row r="52" spans="1:20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</row>
    <row r="53" spans="1:20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</row>
    <row r="54" spans="1:20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</row>
    <row r="55" spans="1:20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</row>
    <row r="56" spans="1:20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</row>
    <row r="57" spans="1:20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</row>
    <row r="58" spans="1:20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</row>
    <row r="59" spans="1:20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</row>
    <row r="60" spans="1:2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</row>
    <row r="61" spans="1:20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</row>
    <row r="62" spans="1:20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</row>
    <row r="63" spans="1:20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</row>
    <row r="64" spans="1:20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</row>
    <row r="65" spans="1:20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</row>
    <row r="66" spans="1:20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</row>
    <row r="67" spans="1:20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</row>
    <row r="68" spans="1:20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</row>
    <row r="69" spans="1:20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</row>
    <row r="70" spans="1:2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</row>
    <row r="71" spans="1:20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</row>
    <row r="72" spans="1:20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</row>
    <row r="74" spans="1:20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</row>
    <row r="75" spans="1:20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</row>
    <row r="76" spans="1:20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</sheetData>
  <sheetProtection password="B0A5" sheet="1" objects="1" scenarios="1" selectLockedCells="1" selectUnlockedCells="1"/>
  <mergeCells count="13">
    <mergeCell ref="A18:D18"/>
    <mergeCell ref="A16:H16"/>
    <mergeCell ref="C1:H4"/>
    <mergeCell ref="A5:H5"/>
    <mergeCell ref="A7:H7"/>
    <mergeCell ref="A17:C17"/>
    <mergeCell ref="A19:C19"/>
    <mergeCell ref="A20:C20"/>
    <mergeCell ref="A49:H50"/>
    <mergeCell ref="A41:H41"/>
    <mergeCell ref="A36:E36"/>
    <mergeCell ref="A22:H24"/>
    <mergeCell ref="A26:F26"/>
  </mergeCells>
  <phoneticPr fontId="0" type="noConversion"/>
  <printOptions horizontalCentered="1"/>
  <pageMargins left="0.75" right="0.75" top="0.56999999999999995" bottom="1" header="0" footer="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autoPageBreaks="0"/>
  </sheetPr>
  <dimension ref="A1:BM61"/>
  <sheetViews>
    <sheetView showGridLines="0" showRowColHeaders="0" showOutlineSymbols="0" workbookViewId="0">
      <selection activeCell="E10" sqref="E10"/>
    </sheetView>
  </sheetViews>
  <sheetFormatPr baseColWidth="10" defaultColWidth="10.85546875" defaultRowHeight="12.75"/>
  <cols>
    <col min="1" max="16384" width="10.85546875" style="2"/>
  </cols>
  <sheetData>
    <row r="1" spans="1:63">
      <c r="A1" s="204" t="s">
        <v>36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63">
      <c r="A2" s="203" t="s">
        <v>44</v>
      </c>
      <c r="B2" s="203"/>
      <c r="C2" s="203"/>
      <c r="D2" s="203"/>
      <c r="E2" s="203" t="s">
        <v>45</v>
      </c>
      <c r="F2" s="203"/>
      <c r="G2" s="203"/>
      <c r="H2" s="203"/>
      <c r="I2" s="203" t="s">
        <v>46</v>
      </c>
      <c r="J2" s="203"/>
      <c r="K2" s="35"/>
      <c r="L2" s="35"/>
    </row>
    <row r="3" spans="1:63">
      <c r="A3" s="29" t="s">
        <v>37</v>
      </c>
      <c r="B3" s="29" t="s">
        <v>38</v>
      </c>
      <c r="C3" s="29" t="s">
        <v>39</v>
      </c>
      <c r="D3" s="29" t="s">
        <v>40</v>
      </c>
      <c r="E3" s="29" t="s">
        <v>37</v>
      </c>
      <c r="F3" s="29" t="s">
        <v>38</v>
      </c>
      <c r="G3" s="29" t="s">
        <v>39</v>
      </c>
      <c r="H3" s="29" t="s">
        <v>40</v>
      </c>
      <c r="I3" s="29" t="s">
        <v>47</v>
      </c>
      <c r="J3" s="29" t="s">
        <v>38</v>
      </c>
      <c r="K3" s="29"/>
    </row>
    <row r="4" spans="1:63" ht="15.75">
      <c r="A4" s="25">
        <v>0</v>
      </c>
      <c r="B4" s="5">
        <v>5.7</v>
      </c>
      <c r="C4" s="5">
        <v>1</v>
      </c>
      <c r="D4" s="6">
        <v>0</v>
      </c>
      <c r="E4" s="26">
        <v>0</v>
      </c>
      <c r="F4" s="27">
        <v>5.14</v>
      </c>
      <c r="G4" s="27">
        <v>1</v>
      </c>
      <c r="H4" s="28">
        <v>0</v>
      </c>
      <c r="I4" s="38">
        <v>0</v>
      </c>
      <c r="J4" s="28">
        <v>5.14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5.75">
      <c r="A5" s="4">
        <v>1</v>
      </c>
      <c r="B5" s="5">
        <v>6</v>
      </c>
      <c r="C5" s="5">
        <v>1.1000000000000001</v>
      </c>
      <c r="D5" s="6">
        <v>0.01</v>
      </c>
      <c r="E5" s="7">
        <f>+(E4+2)</f>
        <v>2</v>
      </c>
      <c r="F5" s="8">
        <v>5.63</v>
      </c>
      <c r="G5" s="8">
        <v>1.2</v>
      </c>
      <c r="H5" s="9">
        <v>0.01</v>
      </c>
      <c r="I5" s="37">
        <v>0.25</v>
      </c>
      <c r="J5" s="40">
        <v>5.6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5.75">
      <c r="A6" s="4">
        <v>2</v>
      </c>
      <c r="B6" s="5">
        <v>6.3</v>
      </c>
      <c r="C6" s="5">
        <v>1.22</v>
      </c>
      <c r="D6" s="6">
        <v>0.04</v>
      </c>
      <c r="E6" s="7">
        <f t="shared" ref="E6:E29" si="0">+(E5+2)</f>
        <v>4</v>
      </c>
      <c r="F6" s="8">
        <v>6.18</v>
      </c>
      <c r="G6" s="8">
        <v>1.43</v>
      </c>
      <c r="H6" s="9">
        <v>0.04</v>
      </c>
      <c r="I6" s="36">
        <v>0.6</v>
      </c>
      <c r="J6" s="40">
        <v>5.9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15.75">
      <c r="A7" s="4">
        <v>3</v>
      </c>
      <c r="B7" s="5">
        <v>6.62</v>
      </c>
      <c r="C7" s="5">
        <v>1.35</v>
      </c>
      <c r="D7" s="6">
        <v>0.06</v>
      </c>
      <c r="E7" s="7">
        <f t="shared" si="0"/>
        <v>6</v>
      </c>
      <c r="F7" s="8">
        <v>6.81</v>
      </c>
      <c r="G7" s="8">
        <v>1.72</v>
      </c>
      <c r="H7" s="9">
        <v>0.11</v>
      </c>
      <c r="I7" s="37">
        <v>0.75</v>
      </c>
      <c r="J7" s="40">
        <v>6.2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5.75">
      <c r="A8" s="4">
        <v>4</v>
      </c>
      <c r="B8" s="5">
        <v>6.97</v>
      </c>
      <c r="C8" s="5">
        <v>1.49</v>
      </c>
      <c r="D8" s="6">
        <v>0.1</v>
      </c>
      <c r="E8" s="7">
        <f t="shared" si="0"/>
        <v>8</v>
      </c>
      <c r="F8" s="8">
        <v>7.53</v>
      </c>
      <c r="G8" s="8">
        <v>2.06</v>
      </c>
      <c r="H8" s="9">
        <v>0.21</v>
      </c>
      <c r="I8" s="39">
        <v>1</v>
      </c>
      <c r="J8" s="40">
        <v>6.4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5.75">
      <c r="A9" s="4">
        <v>5</v>
      </c>
      <c r="B9" s="5">
        <v>7.34</v>
      </c>
      <c r="C9" s="5">
        <v>1.64</v>
      </c>
      <c r="D9" s="6">
        <v>0.14000000000000001</v>
      </c>
      <c r="E9" s="7">
        <f t="shared" si="0"/>
        <v>10</v>
      </c>
      <c r="F9" s="8">
        <v>8.34</v>
      </c>
      <c r="G9" s="8">
        <v>2.4700000000000002</v>
      </c>
      <c r="H9" s="9">
        <v>0.37</v>
      </c>
      <c r="I9" s="36">
        <v>1.6</v>
      </c>
      <c r="J9" s="40">
        <v>6.8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5.75">
      <c r="A10" s="4">
        <v>6</v>
      </c>
      <c r="B10" s="5">
        <v>7.73</v>
      </c>
      <c r="C10" s="5">
        <v>1.81</v>
      </c>
      <c r="D10" s="6">
        <v>0.2</v>
      </c>
      <c r="E10" s="7">
        <f t="shared" si="0"/>
        <v>12</v>
      </c>
      <c r="F10" s="8">
        <v>9.2799999999999994</v>
      </c>
      <c r="G10" s="8">
        <v>2.97</v>
      </c>
      <c r="H10" s="9">
        <v>0.6</v>
      </c>
      <c r="I10" s="39">
        <v>2</v>
      </c>
      <c r="J10" s="40">
        <v>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15.75">
      <c r="A11" s="4">
        <v>7</v>
      </c>
      <c r="B11" s="5">
        <v>8.15</v>
      </c>
      <c r="C11" s="5">
        <v>2</v>
      </c>
      <c r="D11" s="6">
        <v>0.27</v>
      </c>
      <c r="E11" s="7">
        <f t="shared" si="0"/>
        <v>14</v>
      </c>
      <c r="F11" s="8">
        <v>10.37</v>
      </c>
      <c r="G11" s="8">
        <v>3.59</v>
      </c>
      <c r="H11" s="9">
        <v>0.92</v>
      </c>
      <c r="I11" s="36">
        <v>2.5</v>
      </c>
      <c r="J11" s="40">
        <v>7.2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15.75">
      <c r="A12" s="4">
        <v>8</v>
      </c>
      <c r="B12" s="5">
        <v>8.6</v>
      </c>
      <c r="C12" s="5">
        <v>2.21</v>
      </c>
      <c r="D12" s="6">
        <v>0.35</v>
      </c>
      <c r="E12" s="7">
        <f t="shared" si="0"/>
        <v>16</v>
      </c>
      <c r="F12" s="8">
        <v>11.63</v>
      </c>
      <c r="G12" s="8">
        <v>4.34</v>
      </c>
      <c r="H12" s="9">
        <v>1.37</v>
      </c>
      <c r="I12" s="39">
        <v>3</v>
      </c>
      <c r="J12" s="40">
        <v>7.4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16.5" thickBot="1">
      <c r="A13" s="4">
        <v>9</v>
      </c>
      <c r="B13" s="5">
        <v>9.09</v>
      </c>
      <c r="C13" s="5">
        <v>2.44</v>
      </c>
      <c r="D13" s="6">
        <v>0.44</v>
      </c>
      <c r="E13" s="7">
        <f t="shared" si="0"/>
        <v>18</v>
      </c>
      <c r="F13" s="8">
        <v>13.1</v>
      </c>
      <c r="G13" s="8">
        <v>5.26</v>
      </c>
      <c r="H13" s="9">
        <v>2</v>
      </c>
      <c r="I13" s="10">
        <v>4</v>
      </c>
      <c r="J13" s="41">
        <v>7.5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6.5" thickTop="1">
      <c r="A14" s="4">
        <v>10</v>
      </c>
      <c r="B14" s="5">
        <v>9.61</v>
      </c>
      <c r="C14" s="5">
        <v>2.69</v>
      </c>
      <c r="D14" s="6">
        <v>0.56000000000000005</v>
      </c>
      <c r="E14" s="7">
        <f t="shared" si="0"/>
        <v>20</v>
      </c>
      <c r="F14" s="8">
        <v>14.83</v>
      </c>
      <c r="G14" s="8">
        <v>6.4</v>
      </c>
      <c r="H14" s="9">
        <v>2.87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15.75">
      <c r="A15" s="4">
        <v>11</v>
      </c>
      <c r="B15" s="5">
        <v>10.16</v>
      </c>
      <c r="C15" s="5">
        <v>2.98</v>
      </c>
      <c r="D15" s="6">
        <v>0.69</v>
      </c>
      <c r="E15" s="7">
        <f t="shared" si="0"/>
        <v>22</v>
      </c>
      <c r="F15" s="8">
        <v>16.88</v>
      </c>
      <c r="G15" s="8">
        <v>7.82</v>
      </c>
      <c r="H15" s="9">
        <v>4.07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3" ht="15.75">
      <c r="A16" s="4">
        <v>12</v>
      </c>
      <c r="B16" s="5">
        <v>10.76</v>
      </c>
      <c r="C16" s="5">
        <v>3.29</v>
      </c>
      <c r="D16" s="6">
        <v>0.85</v>
      </c>
      <c r="E16" s="7">
        <f t="shared" si="0"/>
        <v>24</v>
      </c>
      <c r="F16" s="8">
        <v>19.32</v>
      </c>
      <c r="G16" s="8">
        <v>9.6</v>
      </c>
      <c r="H16" s="9">
        <v>5.72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5" ht="15.75">
      <c r="A17" s="4">
        <v>13</v>
      </c>
      <c r="B17" s="5">
        <v>11.41</v>
      </c>
      <c r="C17" s="5">
        <v>3.69</v>
      </c>
      <c r="D17" s="6">
        <v>1.04</v>
      </c>
      <c r="E17" s="7">
        <f t="shared" si="0"/>
        <v>26</v>
      </c>
      <c r="F17" s="8">
        <v>22.25</v>
      </c>
      <c r="G17" s="8">
        <v>11.85</v>
      </c>
      <c r="H17" s="9">
        <v>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5" ht="15.75">
      <c r="A18" s="4">
        <v>14</v>
      </c>
      <c r="B18" s="5">
        <v>12.11</v>
      </c>
      <c r="C18" s="5">
        <v>4.0199999999999996</v>
      </c>
      <c r="D18" s="6">
        <v>1.26</v>
      </c>
      <c r="E18" s="7">
        <f t="shared" si="0"/>
        <v>28</v>
      </c>
      <c r="F18" s="8">
        <v>25.8</v>
      </c>
      <c r="G18" s="8">
        <v>14.72</v>
      </c>
      <c r="H18" s="9">
        <v>11.19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5" ht="15.75">
      <c r="A19" s="4">
        <v>15</v>
      </c>
      <c r="B19" s="5">
        <v>12.86</v>
      </c>
      <c r="C19" s="5">
        <v>4.45</v>
      </c>
      <c r="D19" s="6">
        <v>1.52</v>
      </c>
      <c r="E19" s="7">
        <f t="shared" si="0"/>
        <v>30</v>
      </c>
      <c r="F19" s="8">
        <v>30.14</v>
      </c>
      <c r="G19" s="8">
        <v>18.399999999999999</v>
      </c>
      <c r="H19" s="9">
        <v>15.67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5" ht="15.75">
      <c r="A20" s="4">
        <v>16</v>
      </c>
      <c r="B20" s="5">
        <v>13.68</v>
      </c>
      <c r="C20" s="5">
        <v>4.92</v>
      </c>
      <c r="D20" s="6">
        <v>1.82</v>
      </c>
      <c r="E20" s="7">
        <f t="shared" si="0"/>
        <v>32</v>
      </c>
      <c r="F20" s="8">
        <v>35.49</v>
      </c>
      <c r="G20" s="8">
        <v>23.18</v>
      </c>
      <c r="H20" s="9">
        <v>22.02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5" ht="15.75">
      <c r="A21" s="4">
        <v>17</v>
      </c>
      <c r="B21" s="5">
        <v>14.6</v>
      </c>
      <c r="C21" s="5">
        <v>5.45</v>
      </c>
      <c r="D21" s="6">
        <v>2.1800000000000002</v>
      </c>
      <c r="E21" s="7">
        <f t="shared" si="0"/>
        <v>34</v>
      </c>
      <c r="F21" s="8">
        <v>42.16</v>
      </c>
      <c r="G21" s="8">
        <v>29.44</v>
      </c>
      <c r="H21" s="9">
        <v>31.15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5" ht="15.75">
      <c r="A22" s="4">
        <v>18</v>
      </c>
      <c r="B22" s="5">
        <v>15.12</v>
      </c>
      <c r="C22" s="5">
        <v>6.04</v>
      </c>
      <c r="D22" s="6">
        <v>2.59</v>
      </c>
      <c r="E22" s="7">
        <f t="shared" si="0"/>
        <v>36</v>
      </c>
      <c r="F22" s="8">
        <v>50.59</v>
      </c>
      <c r="G22" s="8">
        <v>37.75</v>
      </c>
      <c r="H22" s="9">
        <v>44.43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5" ht="15.75">
      <c r="A23" s="4">
        <v>19</v>
      </c>
      <c r="B23" s="5">
        <v>16.559999999999999</v>
      </c>
      <c r="C23" s="5">
        <v>6.7</v>
      </c>
      <c r="D23" s="6">
        <v>3.07</v>
      </c>
      <c r="E23" s="7">
        <f t="shared" si="0"/>
        <v>38</v>
      </c>
      <c r="F23" s="8">
        <v>61.35</v>
      </c>
      <c r="G23" s="8">
        <v>48.93</v>
      </c>
      <c r="H23" s="9">
        <v>64.069999999999993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5" ht="15.75">
      <c r="A24" s="4">
        <v>20</v>
      </c>
      <c r="B24" s="5">
        <v>17.690000000000001</v>
      </c>
      <c r="C24" s="5">
        <v>7.44</v>
      </c>
      <c r="D24" s="6">
        <v>3.64</v>
      </c>
      <c r="E24" s="7">
        <f t="shared" si="0"/>
        <v>40</v>
      </c>
      <c r="F24" s="8">
        <v>75.31</v>
      </c>
      <c r="G24" s="8">
        <v>64.19</v>
      </c>
      <c r="H24" s="9">
        <v>93.69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5" ht="15.75">
      <c r="A25" s="4">
        <v>21</v>
      </c>
      <c r="B25" s="5">
        <v>18.920000000000002</v>
      </c>
      <c r="C25" s="5">
        <v>8.26</v>
      </c>
      <c r="D25" s="6">
        <v>4.3099999999999996</v>
      </c>
      <c r="E25" s="7">
        <f t="shared" si="0"/>
        <v>42</v>
      </c>
      <c r="F25" s="8">
        <v>93.71</v>
      </c>
      <c r="G25" s="8">
        <v>85.37</v>
      </c>
      <c r="H25" s="9">
        <v>139.32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5" ht="15.75">
      <c r="A26" s="4">
        <v>22</v>
      </c>
      <c r="B26" s="5">
        <v>20.27</v>
      </c>
      <c r="C26" s="5">
        <v>9.19</v>
      </c>
      <c r="D26" s="6">
        <v>5.09</v>
      </c>
      <c r="E26" s="7">
        <f t="shared" si="0"/>
        <v>44</v>
      </c>
      <c r="F26" s="8">
        <v>118.37</v>
      </c>
      <c r="G26" s="8">
        <v>115.31</v>
      </c>
      <c r="H26" s="9">
        <v>211.41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5" ht="15.75">
      <c r="A27" s="4">
        <v>23</v>
      </c>
      <c r="B27" s="5">
        <v>21.75</v>
      </c>
      <c r="C27" s="5">
        <v>10.23</v>
      </c>
      <c r="D27" s="6">
        <v>6</v>
      </c>
      <c r="E27" s="7">
        <f t="shared" si="0"/>
        <v>46</v>
      </c>
      <c r="F27" s="8">
        <v>152.1</v>
      </c>
      <c r="G27" s="8">
        <v>158.5</v>
      </c>
      <c r="H27" s="9">
        <v>328.73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5" ht="15.75">
      <c r="A28" s="4">
        <v>24</v>
      </c>
      <c r="B28" s="5">
        <v>23.36</v>
      </c>
      <c r="C28" s="5">
        <v>11.4</v>
      </c>
      <c r="D28" s="6">
        <v>7.08</v>
      </c>
      <c r="E28" s="7">
        <f t="shared" si="0"/>
        <v>48</v>
      </c>
      <c r="F28" s="8">
        <v>199.26</v>
      </c>
      <c r="G28" s="8">
        <v>222.3</v>
      </c>
      <c r="H28" s="9">
        <v>526.44000000000005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5" ht="16.5" thickBot="1">
      <c r="A29" s="4">
        <v>25</v>
      </c>
      <c r="B29" s="5">
        <v>25.12</v>
      </c>
      <c r="C29" s="5">
        <v>12.72</v>
      </c>
      <c r="D29" s="6">
        <v>8.34</v>
      </c>
      <c r="E29" s="10">
        <f t="shared" si="0"/>
        <v>50</v>
      </c>
      <c r="F29" s="11">
        <v>266.88</v>
      </c>
      <c r="G29" s="11">
        <v>319.05</v>
      </c>
      <c r="H29" s="12">
        <v>873.84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5" ht="16.5" thickTop="1">
      <c r="A30" s="4">
        <v>26</v>
      </c>
      <c r="B30" s="5">
        <v>27.09</v>
      </c>
      <c r="C30" s="5">
        <v>14.21</v>
      </c>
      <c r="D30" s="6">
        <v>9.84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>
      <c r="A31" s="4">
        <v>27</v>
      </c>
      <c r="B31" s="5">
        <v>29.24</v>
      </c>
      <c r="C31" s="5">
        <v>15.9</v>
      </c>
      <c r="D31" s="6">
        <v>11.6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>
      <c r="A32" s="4">
        <v>28</v>
      </c>
      <c r="B32" s="5">
        <v>31.61</v>
      </c>
      <c r="C32" s="5">
        <v>17.809999999999999</v>
      </c>
      <c r="D32" s="6">
        <v>13.7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>
      <c r="A33" s="4">
        <v>29</v>
      </c>
      <c r="B33" s="5">
        <v>34.24</v>
      </c>
      <c r="C33" s="5">
        <v>19.98</v>
      </c>
      <c r="D33" s="6">
        <v>16.18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>
      <c r="A34" s="4">
        <v>30</v>
      </c>
      <c r="B34" s="5">
        <v>37.159999999999997</v>
      </c>
      <c r="C34" s="5">
        <v>22.46</v>
      </c>
      <c r="D34" s="6">
        <v>19.13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>
      <c r="A35" s="4">
        <v>31</v>
      </c>
      <c r="B35" s="5">
        <v>40.409999999999997</v>
      </c>
      <c r="C35" s="5">
        <v>25.28</v>
      </c>
      <c r="D35" s="6">
        <v>22.65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>
      <c r="A36" s="4">
        <v>32</v>
      </c>
      <c r="B36" s="5">
        <v>44.04</v>
      </c>
      <c r="C36" s="5">
        <v>28.52</v>
      </c>
      <c r="D36" s="6">
        <v>26.87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>
      <c r="A37" s="4">
        <v>33</v>
      </c>
      <c r="B37" s="5">
        <v>48.09</v>
      </c>
      <c r="C37" s="5">
        <v>32.229999999999997</v>
      </c>
      <c r="D37" s="6">
        <v>31.94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>
      <c r="A38" s="4">
        <v>34</v>
      </c>
      <c r="B38" s="5">
        <v>52.64</v>
      </c>
      <c r="C38" s="5">
        <v>36.5</v>
      </c>
      <c r="D38" s="6">
        <v>38.04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>
      <c r="A39" s="4">
        <v>35</v>
      </c>
      <c r="B39" s="5">
        <v>57.75</v>
      </c>
      <c r="C39" s="5">
        <v>41.44</v>
      </c>
      <c r="D39" s="6">
        <v>45.41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>
      <c r="A40" s="4">
        <v>36</v>
      </c>
      <c r="B40" s="5">
        <v>63.53</v>
      </c>
      <c r="C40" s="5">
        <v>47.16</v>
      </c>
      <c r="D40" s="6">
        <v>54.36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>
      <c r="A41" s="4">
        <v>37</v>
      </c>
      <c r="B41" s="5">
        <v>70.010000000000005</v>
      </c>
      <c r="C41" s="5">
        <v>53.8</v>
      </c>
      <c r="D41" s="6">
        <v>65.27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>
      <c r="A42" s="4">
        <v>38</v>
      </c>
      <c r="B42" s="5">
        <v>77.5</v>
      </c>
      <c r="C42" s="5">
        <v>61.55</v>
      </c>
      <c r="D42" s="6">
        <v>78.61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>
      <c r="A43" s="4">
        <v>39</v>
      </c>
      <c r="B43" s="5">
        <v>85.97</v>
      </c>
      <c r="C43" s="5">
        <v>70.61</v>
      </c>
      <c r="D43" s="6">
        <v>95.03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>
      <c r="A44" s="4">
        <v>40</v>
      </c>
      <c r="B44" s="5">
        <v>95.66</v>
      </c>
      <c r="C44" s="5">
        <v>81.27</v>
      </c>
      <c r="D44" s="6">
        <v>115.31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>
      <c r="A45" s="4">
        <v>41</v>
      </c>
      <c r="B45" s="5">
        <v>106.81</v>
      </c>
      <c r="C45" s="5">
        <v>93.85</v>
      </c>
      <c r="D45" s="6">
        <v>140.51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>
      <c r="A46" s="4">
        <v>42</v>
      </c>
      <c r="B46" s="5">
        <v>119.67</v>
      </c>
      <c r="C46" s="5">
        <v>108.75</v>
      </c>
      <c r="D46" s="6">
        <v>171.99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>
      <c r="A47" s="4">
        <v>43</v>
      </c>
      <c r="B47" s="5">
        <v>134.58000000000001</v>
      </c>
      <c r="C47" s="5">
        <v>126.5</v>
      </c>
      <c r="D47" s="6">
        <v>211.56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>
      <c r="A48" s="4">
        <v>44</v>
      </c>
      <c r="B48" s="5">
        <v>151.94999999999999</v>
      </c>
      <c r="C48" s="5">
        <v>147.74</v>
      </c>
      <c r="D48" s="6">
        <v>261.60000000000002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>
      <c r="A49" s="4">
        <v>45</v>
      </c>
      <c r="B49" s="5">
        <v>172.28</v>
      </c>
      <c r="C49" s="5">
        <v>173.28</v>
      </c>
      <c r="D49" s="6">
        <v>325.33999999999997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>
      <c r="A50" s="4">
        <v>46</v>
      </c>
      <c r="B50" s="5">
        <v>196.22</v>
      </c>
      <c r="C50" s="5">
        <v>204.19</v>
      </c>
      <c r="D50" s="6">
        <v>407.11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>
      <c r="A51" s="4">
        <v>47</v>
      </c>
      <c r="B51" s="5">
        <v>224.55</v>
      </c>
      <c r="C51" s="5">
        <v>241.8</v>
      </c>
      <c r="D51" s="6">
        <v>512.84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>
      <c r="A52" s="4">
        <v>48</v>
      </c>
      <c r="B52" s="5">
        <v>258.27999999999997</v>
      </c>
      <c r="C52" s="5">
        <v>287.85000000000002</v>
      </c>
      <c r="D52" s="6">
        <v>650.66999999999996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>
      <c r="A53" s="4">
        <v>49</v>
      </c>
      <c r="B53" s="5">
        <v>298.70999999999998</v>
      </c>
      <c r="C53" s="5">
        <v>344.63</v>
      </c>
      <c r="D53" s="6">
        <v>831.99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6.5" thickBot="1">
      <c r="A54" s="13">
        <v>50</v>
      </c>
      <c r="B54" s="14">
        <v>347.5</v>
      </c>
      <c r="C54" s="14">
        <v>415.14</v>
      </c>
      <c r="D54" s="15">
        <v>1072.8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3.5" thickTop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>
      <c r="A61" s="1"/>
      <c r="B61" s="1"/>
      <c r="C61" s="1"/>
      <c r="D61" s="1"/>
      <c r="E61" s="1"/>
      <c r="F61" s="1"/>
      <c r="G61" s="1"/>
      <c r="H61" s="1"/>
    </row>
  </sheetData>
  <sheetProtection password="B0A5" sheet="1" objects="1" scenarios="1"/>
  <mergeCells count="4">
    <mergeCell ref="A2:D2"/>
    <mergeCell ref="E2:H2"/>
    <mergeCell ref="A1:L1"/>
    <mergeCell ref="I2:J2"/>
  </mergeCells>
  <phoneticPr fontId="0" type="noConversion"/>
  <pageMargins left="0.75" right="0.75" top="1" bottom="1" header="0" footer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15</vt:i4>
      </vt:variant>
    </vt:vector>
  </HeadingPairs>
  <TitlesOfParts>
    <vt:vector size="19" baseType="lpstr">
      <vt:lpstr>ACERCA DE "Qc"</vt:lpstr>
      <vt:lpstr>MÉTODO TERZAGHI</vt:lpstr>
      <vt:lpstr>AYUDA</vt:lpstr>
      <vt:lpstr>INFO</vt:lpstr>
      <vt:lpstr>AB</vt:lpstr>
      <vt:lpstr>'ACERCA DE "Qc"'!Área_de_impresión</vt:lpstr>
      <vt:lpstr>AYUDA!Área_de_impresión</vt:lpstr>
      <vt:lpstr>'MÉTODO TERZAGHI'!Área_de_impresión</vt:lpstr>
      <vt:lpstr>'MÉTODO TERZAGHI'!B</vt:lpstr>
      <vt:lpstr>'MÉTODO TERZAGHI'!CH</vt:lpstr>
      <vt:lpstr>'MÉTODO TERZAGHI'!Df</vt:lpstr>
      <vt:lpstr>'MÉTODO TERZAGHI'!FI</vt:lpstr>
      <vt:lpstr>'MÉTODO TERZAGHI'!fs</vt:lpstr>
      <vt:lpstr>'MÉTODO TERZAGHI'!GM</vt:lpstr>
      <vt:lpstr>nc_</vt:lpstr>
      <vt:lpstr>'MÉTODO TERZAGHI'!ng</vt:lpstr>
      <vt:lpstr>'MÉTODO TERZAGHI'!nq</vt:lpstr>
      <vt:lpstr>nq_</vt:lpstr>
      <vt:lpstr>'MÉTODO TERZAGHI'!Títulos_a_imprimir</vt:lpstr>
    </vt:vector>
  </TitlesOfParts>
  <Manager>ELIUD C.</Manager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Qc- Capacidad de carga</dc:title>
  <dc:subject>Versión 1.5</dc:subject>
  <dc:creator>Eliud Castillo</dc:creator>
  <dc:description>Determinación de la capacidad de carga y reporte.</dc:description>
  <cp:lastModifiedBy>Paola Andrea Garcia Tangarife</cp:lastModifiedBy>
  <cp:lastPrinted>2025-07-04T16:20:51Z</cp:lastPrinted>
  <dcterms:created xsi:type="dcterms:W3CDTF">2003-08-26T13:59:00Z</dcterms:created>
  <dcterms:modified xsi:type="dcterms:W3CDTF">2026-05-22T15:59:29Z</dcterms:modified>
  <cp:category>Mecánica de suelos</cp:category>
</cp:coreProperties>
</file>