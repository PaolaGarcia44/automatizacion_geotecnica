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nologicodeantioquia-my.sharepoint.com/personal/paola_garcia44_correo_tdea_edu_co/Documents/Escritorio/Automatización geotecnica/automatizacion_geotecnica/backend/templates/excel/"/>
    </mc:Choice>
  </mc:AlternateContent>
  <xr:revisionPtr revIDLastSave="5" documentId="13_ncr:1_{D37D9AEB-57D8-4227-A05E-19663CFACB56}" xr6:coauthVersionLast="47" xr6:coauthVersionMax="47" xr10:uidLastSave="{C9590293-1D85-4073-B850-52291E100647}"/>
  <bookViews>
    <workbookView minimized="1" xWindow="5805" yWindow="3705" windowWidth="15375" windowHeight="7785" xr2:uid="{00000000-000D-0000-FFFF-FFFF00000000}"/>
  </bookViews>
  <sheets>
    <sheet name="P3" sheetId="50" r:id="rId1"/>
  </sheets>
  <definedNames>
    <definedName name="_xlnm.Print_Area" localSheetId="0">'P3'!$A$2:$Q$32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50" l="1"/>
  <c r="D18" i="50"/>
  <c r="D19" i="50"/>
  <c r="D20" i="50"/>
  <c r="D21" i="50"/>
  <c r="D22" i="50"/>
  <c r="D23" i="50"/>
  <c r="D24" i="50"/>
  <c r="D25" i="50"/>
  <c r="D16" i="50" l="1"/>
  <c r="D15" i="50"/>
  <c r="D14" i="50"/>
  <c r="D13" i="50"/>
  <c r="D12" i="50"/>
  <c r="D11" i="50"/>
  <c r="D10" i="50"/>
  <c r="C10" i="50"/>
  <c r="E10" i="50" l="1"/>
  <c r="H10" i="50" s="1"/>
  <c r="C11" i="50"/>
  <c r="E11" i="50" s="1"/>
  <c r="C12" i="50" l="1"/>
  <c r="E12" i="50" s="1"/>
  <c r="H12" i="50" s="1"/>
  <c r="I12" i="50" s="1"/>
  <c r="J10" i="50"/>
  <c r="G10" i="50" s="1"/>
  <c r="K10" i="50" s="1"/>
  <c r="I10" i="50"/>
  <c r="H11" i="50"/>
  <c r="C13" i="50" l="1"/>
  <c r="E13" i="50" s="1"/>
  <c r="H13" i="50" s="1"/>
  <c r="L10" i="50"/>
  <c r="N10" i="50"/>
  <c r="I11" i="50"/>
  <c r="J11" i="50"/>
  <c r="J12" i="50"/>
  <c r="G12" i="50" l="1"/>
  <c r="K12" i="50" s="1"/>
  <c r="G11" i="50"/>
  <c r="K11" i="50" s="1"/>
  <c r="C14" i="50"/>
  <c r="E14" i="50" s="1"/>
  <c r="H14" i="50" s="1"/>
  <c r="M10" i="50"/>
  <c r="P10" i="50"/>
  <c r="I13" i="50"/>
  <c r="J13" i="50"/>
  <c r="N11" i="50" l="1"/>
  <c r="L11" i="50"/>
  <c r="M11" i="50" s="1"/>
  <c r="N12" i="50"/>
  <c r="L12" i="50"/>
  <c r="P12" i="50" s="1"/>
  <c r="G13" i="50"/>
  <c r="K13" i="50" s="1"/>
  <c r="C15" i="50"/>
  <c r="E15" i="50" s="1"/>
  <c r="H15" i="50" s="1"/>
  <c r="I14" i="50"/>
  <c r="J14" i="50"/>
  <c r="M12" i="50" l="1"/>
  <c r="L13" i="50"/>
  <c r="P13" i="50" s="1"/>
  <c r="N13" i="50"/>
  <c r="P11" i="50"/>
  <c r="G14" i="50"/>
  <c r="K14" i="50" s="1"/>
  <c r="C16" i="50"/>
  <c r="J15" i="50"/>
  <c r="I15" i="50"/>
  <c r="M13" i="50" l="1"/>
  <c r="N14" i="50"/>
  <c r="L14" i="50"/>
  <c r="P14" i="50" s="1"/>
  <c r="G15" i="50"/>
  <c r="K15" i="50" s="1"/>
  <c r="E16" i="50"/>
  <c r="H16" i="50" s="1"/>
  <c r="J16" i="50" s="1"/>
  <c r="C17" i="50"/>
  <c r="I16" i="50"/>
  <c r="M14" i="50" l="1"/>
  <c r="N15" i="50"/>
  <c r="G16" i="50"/>
  <c r="K16" i="50" s="1"/>
  <c r="L15" i="50"/>
  <c r="M15" i="50" s="1"/>
  <c r="E17" i="50"/>
  <c r="H17" i="50" s="1"/>
  <c r="C18" i="50"/>
  <c r="N16" i="50" l="1"/>
  <c r="L16" i="50"/>
  <c r="M16" i="50" s="1"/>
  <c r="P15" i="50"/>
  <c r="E18" i="50"/>
  <c r="H18" i="50" s="1"/>
  <c r="C19" i="50"/>
  <c r="J17" i="50"/>
  <c r="I17" i="50"/>
  <c r="G17" i="50" l="1"/>
  <c r="K17" i="50" s="1"/>
  <c r="P16" i="50"/>
  <c r="E19" i="50"/>
  <c r="H19" i="50" s="1"/>
  <c r="C20" i="50"/>
  <c r="I18" i="50"/>
  <c r="J18" i="50"/>
  <c r="N17" i="50" l="1"/>
  <c r="L17" i="50"/>
  <c r="M17" i="50" s="1"/>
  <c r="G18" i="50"/>
  <c r="K18" i="50" s="1"/>
  <c r="C21" i="50"/>
  <c r="E20" i="50"/>
  <c r="H20" i="50" s="1"/>
  <c r="J19" i="50"/>
  <c r="I19" i="50"/>
  <c r="P17" i="50" l="1"/>
  <c r="N18" i="50"/>
  <c r="L18" i="50"/>
  <c r="M18" i="50" s="1"/>
  <c r="G19" i="50"/>
  <c r="K19" i="50" s="1"/>
  <c r="I20" i="50"/>
  <c r="J20" i="50"/>
  <c r="C22" i="50"/>
  <c r="E21" i="50"/>
  <c r="H21" i="50" s="1"/>
  <c r="P18" i="50" l="1"/>
  <c r="N19" i="50"/>
  <c r="L19" i="50"/>
  <c r="M19" i="50" s="1"/>
  <c r="G20" i="50"/>
  <c r="K20" i="50" s="1"/>
  <c r="I21" i="50"/>
  <c r="J21" i="50"/>
  <c r="E22" i="50"/>
  <c r="H22" i="50" s="1"/>
  <c r="C23" i="50"/>
  <c r="P19" i="50" l="1"/>
  <c r="N20" i="50"/>
  <c r="L20" i="50"/>
  <c r="M20" i="50" s="1"/>
  <c r="G21" i="50"/>
  <c r="K21" i="50" s="1"/>
  <c r="E23" i="50"/>
  <c r="H23" i="50" s="1"/>
  <c r="C24" i="50"/>
  <c r="I22" i="50"/>
  <c r="J22" i="50"/>
  <c r="P20" i="50" l="1"/>
  <c r="L21" i="50"/>
  <c r="M21" i="50" s="1"/>
  <c r="N21" i="50"/>
  <c r="G22" i="50"/>
  <c r="K22" i="50" s="1"/>
  <c r="C25" i="50"/>
  <c r="E25" i="50" s="1"/>
  <c r="H25" i="50" s="1"/>
  <c r="E24" i="50"/>
  <c r="H24" i="50" s="1"/>
  <c r="J23" i="50"/>
  <c r="I23" i="50"/>
  <c r="P21" i="50" l="1"/>
  <c r="N22" i="50"/>
  <c r="L22" i="50"/>
  <c r="P22" i="50" s="1"/>
  <c r="G23" i="50"/>
  <c r="K23" i="50" s="1"/>
  <c r="J24" i="50"/>
  <c r="I24" i="50"/>
  <c r="I25" i="50"/>
  <c r="J25" i="50"/>
  <c r="M22" i="50"/>
  <c r="L23" i="50" l="1"/>
  <c r="M23" i="50" s="1"/>
  <c r="N23" i="50"/>
  <c r="G25" i="50"/>
  <c r="K25" i="50" s="1"/>
  <c r="G24" i="50"/>
  <c r="K24" i="50" s="1"/>
  <c r="P23" i="50"/>
  <c r="L25" i="50" l="1"/>
  <c r="N25" i="50"/>
  <c r="L24" i="50"/>
  <c r="M24" i="50" s="1"/>
  <c r="N24" i="50"/>
  <c r="M25" i="50"/>
  <c r="P25" i="50"/>
  <c r="P24" i="50" l="1"/>
</calcChain>
</file>

<file path=xl/sharedStrings.xml><?xml version="1.0" encoding="utf-8"?>
<sst xmlns="http://schemas.openxmlformats.org/spreadsheetml/2006/main" count="40" uniqueCount="40">
  <si>
    <t>Z(m)</t>
  </si>
  <si>
    <t>N(campo)</t>
  </si>
  <si>
    <r>
      <t>N1</t>
    </r>
    <r>
      <rPr>
        <sz val="8"/>
        <color indexed="8"/>
        <rFont val="Calibri"/>
        <family val="2"/>
      </rPr>
      <t>(Confina)</t>
    </r>
  </si>
  <si>
    <t>Suelo</t>
  </si>
  <si>
    <t>CORRELACIÓN GEOTÉCNICA DE PARÁMETROS GEOMECÁNICOS</t>
  </si>
  <si>
    <t>MEMORIAS DE CÁLCULO</t>
  </si>
  <si>
    <t>Parámetro:</t>
  </si>
  <si>
    <t>Proyecto:</t>
  </si>
  <si>
    <t>Fecha:</t>
  </si>
  <si>
    <r>
      <t>N</t>
    </r>
    <r>
      <rPr>
        <sz val="8"/>
        <color indexed="8"/>
        <rFont val="Calibri"/>
        <family val="2"/>
      </rPr>
      <t>1(45)</t>
    </r>
  </si>
  <si>
    <t>Rs</t>
  </si>
  <si>
    <r>
      <t>Z</t>
    </r>
    <r>
      <rPr>
        <sz val="8"/>
        <color indexed="8"/>
        <rFont val="Arial"/>
        <family val="2"/>
      </rPr>
      <t>NF(m)=</t>
    </r>
  </si>
  <si>
    <t>K (Marcuson)</t>
  </si>
  <si>
    <t>Gonzales 1999</t>
  </si>
  <si>
    <t>Sondeo:</t>
  </si>
  <si>
    <r>
      <rPr>
        <sz val="8"/>
        <color indexed="8"/>
        <rFont val="Symbol"/>
        <family val="1"/>
        <charset val="2"/>
      </rPr>
      <t>f</t>
    </r>
    <r>
      <rPr>
        <sz val="11"/>
        <color indexed="8"/>
        <rFont val="Calibri"/>
        <family val="2"/>
      </rPr>
      <t>'</t>
    </r>
    <r>
      <rPr>
        <sz val="8"/>
        <color indexed="8"/>
        <rFont val="Symbol"/>
        <family val="1"/>
        <charset val="2"/>
      </rPr>
      <t xml:space="preserve"> </t>
    </r>
    <r>
      <rPr>
        <sz val="10"/>
        <color indexed="8"/>
        <rFont val="Symbol"/>
        <family val="1"/>
        <charset val="2"/>
      </rPr>
      <t>(</t>
    </r>
    <r>
      <rPr>
        <sz val="10"/>
        <color indexed="8"/>
        <rFont val="Calibri"/>
        <family val="2"/>
      </rPr>
      <t>°</t>
    </r>
    <r>
      <rPr>
        <sz val="11"/>
        <color indexed="8"/>
        <rFont val="Calibri"/>
        <family val="2"/>
      </rPr>
      <t>)</t>
    </r>
    <r>
      <rPr>
        <sz val="8"/>
        <color indexed="8"/>
        <rFont val="Calibri"/>
        <family val="2"/>
      </rPr>
      <t xml:space="preserve"> </t>
    </r>
  </si>
  <si>
    <t>Método de Cálculo:</t>
  </si>
  <si>
    <r>
      <rPr>
        <sz val="8"/>
        <color indexed="8"/>
        <rFont val="Symbol"/>
        <family val="1"/>
        <charset val="2"/>
      </rPr>
      <t>f</t>
    </r>
    <r>
      <rPr>
        <sz val="11"/>
        <color indexed="8"/>
        <rFont val="Calibri"/>
        <family val="2"/>
      </rPr>
      <t>'</t>
    </r>
    <r>
      <rPr>
        <sz val="8"/>
        <color indexed="8"/>
        <rFont val="Calibri"/>
        <family val="2"/>
      </rPr>
      <t>eq</t>
    </r>
    <r>
      <rPr>
        <sz val="11"/>
        <color indexed="8"/>
        <rFont val="Calibri"/>
        <family val="2"/>
      </rPr>
      <t xml:space="preserve"> (°)</t>
    </r>
  </si>
  <si>
    <t>Seed Idriss (Marcuson) (Cn &lt;=2)</t>
  </si>
  <si>
    <t>Cn</t>
  </si>
  <si>
    <t>Kishida ajustada a e=45%</t>
  </si>
  <si>
    <t>P-1</t>
  </si>
  <si>
    <t>Peso del Martinete (Kg):</t>
  </si>
  <si>
    <t>Altura de caída (m):</t>
  </si>
  <si>
    <t>E (MPa)</t>
  </si>
  <si>
    <r>
      <rPr>
        <sz val="8"/>
        <color indexed="8"/>
        <rFont val="Symbol"/>
        <family val="1"/>
        <charset val="2"/>
      </rPr>
      <t xml:space="preserve">g </t>
    </r>
    <r>
      <rPr>
        <sz val="8"/>
        <color indexed="8"/>
        <rFont val="Arial"/>
        <family val="2"/>
      </rPr>
      <t>(kN/m3)</t>
    </r>
  </si>
  <si>
    <r>
      <rPr>
        <sz val="8"/>
        <color indexed="8"/>
        <rFont val="Symbol"/>
        <family val="1"/>
        <charset val="2"/>
      </rPr>
      <t>s</t>
    </r>
    <r>
      <rPr>
        <sz val="8"/>
        <color indexed="8"/>
        <rFont val="Calibri"/>
        <family val="2"/>
      </rPr>
      <t>v (kPa)</t>
    </r>
  </si>
  <si>
    <r>
      <t xml:space="preserve">m </t>
    </r>
    <r>
      <rPr>
        <sz val="8"/>
        <color indexed="8"/>
        <rFont val="Arial"/>
        <family val="2"/>
      </rPr>
      <t>(kPa)</t>
    </r>
  </si>
  <si>
    <r>
      <rPr>
        <sz val="8"/>
        <color indexed="8"/>
        <rFont val="Symbol"/>
        <family val="1"/>
        <charset val="2"/>
      </rPr>
      <t>s</t>
    </r>
    <r>
      <rPr>
        <sz val="8"/>
        <color indexed="8"/>
        <rFont val="Calibri"/>
        <family val="2"/>
      </rPr>
      <t>´v (kPa)</t>
    </r>
  </si>
  <si>
    <r>
      <rPr>
        <sz val="8"/>
        <color indexed="8"/>
        <rFont val="Symbol"/>
        <family val="1"/>
        <charset val="2"/>
      </rPr>
      <t>t</t>
    </r>
    <r>
      <rPr>
        <sz val="8"/>
        <color indexed="8"/>
        <rFont val="Calibri"/>
        <family val="2"/>
      </rPr>
      <t xml:space="preserve"> (kPa)</t>
    </r>
  </si>
  <si>
    <r>
      <t>C</t>
    </r>
    <r>
      <rPr>
        <sz val="10"/>
        <color indexed="8"/>
        <rFont val="Calibri"/>
        <family val="2"/>
      </rPr>
      <t xml:space="preserve">' </t>
    </r>
    <r>
      <rPr>
        <sz val="8"/>
        <color indexed="8"/>
        <rFont val="Calibri"/>
        <family val="2"/>
      </rPr>
      <t>(kPa)</t>
    </r>
  </si>
  <si>
    <t>N.A.</t>
  </si>
  <si>
    <r>
      <t>Ángulo de Fricción Interna (</t>
    </r>
    <r>
      <rPr>
        <sz val="8"/>
        <color indexed="8"/>
        <rFont val="Arial"/>
        <family val="2"/>
      </rPr>
      <t>ø°)  a partir del Standard Penetratión Testing (S.P.T.).</t>
    </r>
  </si>
  <si>
    <t>Cordialmente</t>
  </si>
  <si>
    <t>EDWIN MARIN MONTOYA</t>
  </si>
  <si>
    <t>Ingeniero Civil</t>
  </si>
  <si>
    <t>MP 05202-254406</t>
  </si>
  <si>
    <t>Material tipo depósito aluvial compuesto por una arena limosa café pardo con vetas grises y fragmentos de roca en profundidad</t>
  </si>
  <si>
    <t>Piso duro, entresuelo y lleno antrópico compuesto de limo café</t>
  </si>
  <si>
    <t>CONSTRUCCIÓN DE UNA ESTRUCTURA HASTA 4 NIVELES  UBICADA EN LA DIRECCIÓN CL 50 # 53 - 22 ZONA URBANA DEL MUNICIPIO DE COPACABANA - 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</si>
</sst>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Arial"/>
      <family val="2"/>
    </font>
    <font>
      <sz val="10"/>
      <color indexed="8"/>
      <name val="Calibri"/>
      <family val="2"/>
    </font>
    <font>
      <sz val="10"/>
      <color indexed="8"/>
      <name val="Symbol"/>
      <family val="1"/>
      <charset val="2"/>
    </font>
    <font>
      <sz val="8"/>
      <color indexed="8"/>
      <name val="Symbol"/>
      <family val="1"/>
      <charset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8"/>
      <color theme="1"/>
      <name val="Symbol"/>
      <family val="1"/>
      <charset val="2"/>
    </font>
    <font>
      <sz val="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/>
    <xf numFmtId="0" fontId="9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2" fontId="8" fillId="4" borderId="3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2" fontId="8" fillId="4" borderId="11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14" xfId="0" applyBorder="1"/>
    <xf numFmtId="0" fontId="8" fillId="0" borderId="9" xfId="0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" fontId="8" fillId="0" borderId="16" xfId="0" applyNumberFormat="1" applyFont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164" fontId="8" fillId="0" borderId="17" xfId="0" applyNumberFormat="1" applyFont="1" applyBorder="1" applyAlignment="1">
      <alignment horizontal="center"/>
    </xf>
    <xf numFmtId="2" fontId="8" fillId="4" borderId="13" xfId="0" applyNumberFormat="1" applyFont="1" applyFill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2" fontId="8" fillId="0" borderId="4" xfId="0" applyNumberFormat="1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4" borderId="1" xfId="0" applyFont="1" applyFill="1" applyBorder="1" applyAlignment="1">
      <alignment horizontal="left" vertical="center" wrapText="1"/>
    </xf>
    <xf numFmtId="17" fontId="9" fillId="4" borderId="1" xfId="0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7D045"/>
      <color rgb="FF9ABC9C"/>
      <color rgb="FF63A172"/>
      <color rgb="FFE6B846"/>
      <color rgb="FFA29962"/>
      <color rgb="FFB98A4B"/>
      <color rgb="FF85A79C"/>
      <color rgb="FFD3A32B"/>
      <color rgb="FFDB9E23"/>
      <color rgb="FF78B4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630114</xdr:colOff>
      <xdr:row>0</xdr:row>
      <xdr:rowOff>0</xdr:rowOff>
    </xdr:from>
    <xdr:to>
      <xdr:col>26</xdr:col>
      <xdr:colOff>258639</xdr:colOff>
      <xdr:row>31</xdr:row>
      <xdr:rowOff>2452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956C3D-10CE-41C0-989A-A7FD31441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268" y="0"/>
          <a:ext cx="5724525" cy="587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32"/>
  <sheetViews>
    <sheetView tabSelected="1" topLeftCell="A10" zoomScale="115" zoomScaleNormal="115" workbookViewId="0">
      <selection activeCell="S20" sqref="S20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6.85546875" customWidth="1"/>
    <col min="4" max="4" width="6.28515625" customWidth="1"/>
    <col min="5" max="5" width="7.42578125" customWidth="1"/>
    <col min="6" max="6" width="7.5703125" customWidth="1"/>
    <col min="7" max="7" width="10.5703125" customWidth="1"/>
    <col min="8" max="8" width="5.7109375" customWidth="1"/>
    <col min="9" max="9" width="9.42578125" customWidth="1"/>
    <col min="10" max="10" width="6.140625" customWidth="1"/>
    <col min="11" max="11" width="5.5703125" customWidth="1"/>
    <col min="12" max="12" width="6" customWidth="1"/>
    <col min="13" max="13" width="6.7109375" customWidth="1"/>
    <col min="14" max="14" width="7.7109375" bestFit="1" customWidth="1"/>
    <col min="15" max="15" width="8.42578125" hidden="1" customWidth="1"/>
    <col min="16" max="16" width="8.140625" customWidth="1"/>
    <col min="17" max="17" width="13.85546875" customWidth="1"/>
    <col min="18" max="18" width="2.5703125" customWidth="1"/>
  </cols>
  <sheetData>
    <row r="2" spans="1:19" x14ac:dyDescent="0.25">
      <c r="A2" s="52" t="s">
        <v>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4"/>
    </row>
    <row r="3" spans="1:19" x14ac:dyDescent="0.25">
      <c r="A3" s="55" t="s">
        <v>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9" ht="9.75" customHeight="1" x14ac:dyDescent="0.25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5" spans="1:19" x14ac:dyDescent="0.25">
      <c r="A5" s="45" t="s">
        <v>6</v>
      </c>
      <c r="B5" s="45"/>
      <c r="C5" s="50" t="s">
        <v>32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</row>
    <row r="6" spans="1:19" ht="24" customHeight="1" x14ac:dyDescent="0.25">
      <c r="A6" s="45" t="s">
        <v>7</v>
      </c>
      <c r="B6" s="45"/>
      <c r="C6" s="59" t="s">
        <v>39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1:19" ht="15" customHeight="1" x14ac:dyDescent="0.25">
      <c r="A7" s="49" t="s">
        <v>8</v>
      </c>
      <c r="B7" s="49"/>
      <c r="C7" s="60">
        <v>46106</v>
      </c>
      <c r="D7" s="61"/>
      <c r="E7" s="61"/>
      <c r="F7" s="38" t="s">
        <v>22</v>
      </c>
      <c r="G7" s="38"/>
      <c r="H7" s="11">
        <v>63.5</v>
      </c>
      <c r="I7" s="12" t="s">
        <v>11</v>
      </c>
      <c r="J7" s="39" t="s">
        <v>16</v>
      </c>
      <c r="K7" s="39"/>
      <c r="L7" s="40" t="s">
        <v>13</v>
      </c>
      <c r="M7" s="41"/>
      <c r="N7" s="46" t="s">
        <v>18</v>
      </c>
      <c r="O7" s="47"/>
      <c r="P7" s="47"/>
      <c r="Q7" s="48"/>
    </row>
    <row r="8" spans="1:19" ht="15" customHeight="1" x14ac:dyDescent="0.25">
      <c r="A8" s="49" t="s">
        <v>14</v>
      </c>
      <c r="B8" s="49"/>
      <c r="C8" s="50" t="s">
        <v>21</v>
      </c>
      <c r="D8" s="50"/>
      <c r="E8" s="4"/>
      <c r="F8" s="38" t="s">
        <v>23</v>
      </c>
      <c r="G8" s="38"/>
      <c r="H8" s="11">
        <v>0.76</v>
      </c>
      <c r="I8" s="5" t="s">
        <v>31</v>
      </c>
      <c r="J8" s="39"/>
      <c r="K8" s="39"/>
      <c r="L8" s="42"/>
      <c r="M8" s="43"/>
      <c r="N8" s="46" t="s">
        <v>20</v>
      </c>
      <c r="O8" s="47"/>
      <c r="P8" s="47"/>
      <c r="Q8" s="48"/>
    </row>
    <row r="9" spans="1:19" x14ac:dyDescent="0.25">
      <c r="A9" s="6" t="s">
        <v>0</v>
      </c>
      <c r="B9" s="9" t="s">
        <v>25</v>
      </c>
      <c r="C9" s="9" t="s">
        <v>26</v>
      </c>
      <c r="D9" s="8" t="s">
        <v>27</v>
      </c>
      <c r="E9" s="9" t="s">
        <v>28</v>
      </c>
      <c r="F9" s="6" t="s">
        <v>1</v>
      </c>
      <c r="G9" s="6" t="s">
        <v>2</v>
      </c>
      <c r="H9" s="6" t="s">
        <v>10</v>
      </c>
      <c r="I9" s="6" t="s">
        <v>12</v>
      </c>
      <c r="J9" s="6" t="s">
        <v>19</v>
      </c>
      <c r="K9" s="6" t="s">
        <v>9</v>
      </c>
      <c r="L9" s="9" t="s">
        <v>17</v>
      </c>
      <c r="M9" s="9" t="s">
        <v>29</v>
      </c>
      <c r="N9" s="9" t="s">
        <v>24</v>
      </c>
      <c r="O9" s="7" t="s">
        <v>30</v>
      </c>
      <c r="P9" s="9" t="s">
        <v>15</v>
      </c>
      <c r="Q9" s="9" t="s">
        <v>3</v>
      </c>
    </row>
    <row r="10" spans="1:19" ht="15" customHeight="1" x14ac:dyDescent="0.25">
      <c r="A10" s="62">
        <v>0.45</v>
      </c>
      <c r="B10" s="16">
        <v>15</v>
      </c>
      <c r="C10" s="15">
        <f>B10*A10</f>
        <v>6.75</v>
      </c>
      <c r="D10" s="15">
        <f t="shared" ref="D10:D16" si="0">IF(A10&lt;=$I$8,(0),10*(A10-$I$8))</f>
        <v>0</v>
      </c>
      <c r="E10" s="15">
        <f t="shared" ref="E10:E16" si="1">C10-D10</f>
        <v>6.75</v>
      </c>
      <c r="F10" s="35">
        <v>15</v>
      </c>
      <c r="G10" s="17">
        <f>F10*J10</f>
        <v>28.497339389606189</v>
      </c>
      <c r="H10" s="15">
        <f t="shared" ref="H10:H16" si="2">E10/100</f>
        <v>6.7500000000000004E-2</v>
      </c>
      <c r="I10" s="15">
        <f>IF(H10&lt;1,(1.41),(0.92))</f>
        <v>1.41</v>
      </c>
      <c r="J10" s="16">
        <f>LOG10(20/H10)/LOG10(20)</f>
        <v>1.8998226259737461</v>
      </c>
      <c r="K10" s="17">
        <f t="shared" ref="K10:K15" si="3">G10*(42/45)</f>
        <v>26.597516763632445</v>
      </c>
      <c r="L10" s="17">
        <f t="shared" ref="L10:L16" si="4">(15+(POWER((12.5*K10),0.5)))</f>
        <v>33.233731366492307</v>
      </c>
      <c r="M10" s="18">
        <f t="shared" ref="M10:M16" si="5">E10*TAN(L10*PI()/180)</f>
        <v>4.4227539781267433</v>
      </c>
      <c r="N10" s="18">
        <f t="shared" ref="N10" si="6">0.3*(K10*45/55+6)</f>
        <v>8.3284813874370531</v>
      </c>
      <c r="O10" s="31">
        <v>5</v>
      </c>
      <c r="P10" s="19">
        <f>L10</f>
        <v>33.233731366492307</v>
      </c>
      <c r="Q10" s="44" t="s">
        <v>38</v>
      </c>
    </row>
    <row r="11" spans="1:19" ht="15" customHeight="1" x14ac:dyDescent="0.25">
      <c r="A11" s="62">
        <v>1.45</v>
      </c>
      <c r="B11" s="16">
        <v>17</v>
      </c>
      <c r="C11" s="15">
        <f>B11*A11</f>
        <v>24.65</v>
      </c>
      <c r="D11" s="15">
        <f t="shared" si="0"/>
        <v>0</v>
      </c>
      <c r="E11" s="15">
        <f t="shared" si="1"/>
        <v>24.65</v>
      </c>
      <c r="F11" s="35">
        <v>20</v>
      </c>
      <c r="G11" s="17">
        <f t="shared" ref="G11:G16" si="7">F11*J11</f>
        <v>29.349255257967584</v>
      </c>
      <c r="H11" s="15">
        <f t="shared" si="2"/>
        <v>0.2465</v>
      </c>
      <c r="I11" s="15">
        <f t="shared" ref="I11:I16" si="8">IF(H11&lt;1,(1.41),(0.92))</f>
        <v>1.41</v>
      </c>
      <c r="J11" s="16">
        <f t="shared" ref="J11:J15" si="9">LOG10(20/H11)/LOG10(20)</f>
        <v>1.4674627628983792</v>
      </c>
      <c r="K11" s="17">
        <f t="shared" si="3"/>
        <v>27.392638240769745</v>
      </c>
      <c r="L11" s="17">
        <f t="shared" si="4"/>
        <v>33.504269183343119</v>
      </c>
      <c r="M11" s="18">
        <f t="shared" si="5"/>
        <v>16.318120563539114</v>
      </c>
      <c r="N11" s="18">
        <f>0.32*(K11*45/55+15)</f>
        <v>11.971890739401534</v>
      </c>
      <c r="O11" s="51">
        <v>5</v>
      </c>
      <c r="P11" s="14">
        <f t="shared" ref="P11:P25" si="10">L11</f>
        <v>33.504269183343119</v>
      </c>
      <c r="Q11" s="44"/>
    </row>
    <row r="12" spans="1:19" ht="14.45" customHeight="1" x14ac:dyDescent="0.25">
      <c r="A12" s="63">
        <v>2.4500000000000002</v>
      </c>
      <c r="B12" s="3">
        <v>17</v>
      </c>
      <c r="C12" s="1">
        <f t="shared" ref="C12:C16" si="11">(A12-A11)*B12+C11</f>
        <v>41.650000000000006</v>
      </c>
      <c r="D12" s="1">
        <f t="shared" si="0"/>
        <v>0</v>
      </c>
      <c r="E12" s="1">
        <f t="shared" si="1"/>
        <v>41.650000000000006</v>
      </c>
      <c r="F12" s="35">
        <v>22</v>
      </c>
      <c r="G12" s="2">
        <f t="shared" si="7"/>
        <v>28.432188267409931</v>
      </c>
      <c r="H12" s="1">
        <f t="shared" si="2"/>
        <v>0.41650000000000004</v>
      </c>
      <c r="I12" s="1">
        <f t="shared" si="8"/>
        <v>1.41</v>
      </c>
      <c r="J12" s="3">
        <f t="shared" si="9"/>
        <v>1.2923721939731787</v>
      </c>
      <c r="K12" s="2">
        <f t="shared" si="3"/>
        <v>26.536709049582601</v>
      </c>
      <c r="L12" s="2">
        <f t="shared" si="4"/>
        <v>33.212876300018692</v>
      </c>
      <c r="M12" s="10">
        <f t="shared" si="5"/>
        <v>27.268366586017525</v>
      </c>
      <c r="N12" s="10">
        <f t="shared" ref="N12:N16" si="12">0.32*(K12*45/55+15)</f>
        <v>11.74779291479981</v>
      </c>
      <c r="O12" s="51"/>
      <c r="P12" s="14">
        <f t="shared" si="10"/>
        <v>33.212876300018692</v>
      </c>
      <c r="Q12" s="44"/>
    </row>
    <row r="13" spans="1:19" ht="15" customHeight="1" x14ac:dyDescent="0.25">
      <c r="A13" s="64">
        <v>3.45</v>
      </c>
      <c r="B13" s="24">
        <v>17</v>
      </c>
      <c r="C13" s="22">
        <f t="shared" si="11"/>
        <v>58.650000000000006</v>
      </c>
      <c r="D13" s="22">
        <f t="shared" si="0"/>
        <v>0</v>
      </c>
      <c r="E13" s="22">
        <f t="shared" si="1"/>
        <v>58.650000000000006</v>
      </c>
      <c r="F13" s="35">
        <v>29</v>
      </c>
      <c r="G13" s="23">
        <f t="shared" si="7"/>
        <v>34.16531328662829</v>
      </c>
      <c r="H13" s="22">
        <f t="shared" si="2"/>
        <v>0.58650000000000002</v>
      </c>
      <c r="I13" s="22">
        <f t="shared" si="8"/>
        <v>1.41</v>
      </c>
      <c r="J13" s="24">
        <f t="shared" si="9"/>
        <v>1.1781142512630445</v>
      </c>
      <c r="K13" s="23">
        <f t="shared" si="3"/>
        <v>31.887625734186404</v>
      </c>
      <c r="L13" s="23">
        <f t="shared" si="4"/>
        <v>34.964852157662726</v>
      </c>
      <c r="M13" s="25">
        <f t="shared" si="5"/>
        <v>41.013576586883126</v>
      </c>
      <c r="N13" s="25">
        <f t="shared" si="12"/>
        <v>13.148760192223349</v>
      </c>
      <c r="O13" s="51"/>
      <c r="P13" s="14">
        <f>L13</f>
        <v>34.964852157662726</v>
      </c>
      <c r="Q13" s="44" t="s">
        <v>37</v>
      </c>
    </row>
    <row r="14" spans="1:19" ht="15" customHeight="1" x14ac:dyDescent="0.25">
      <c r="A14" s="63">
        <v>4.45</v>
      </c>
      <c r="B14" s="3">
        <v>17</v>
      </c>
      <c r="C14" s="1">
        <f t="shared" si="11"/>
        <v>75.650000000000006</v>
      </c>
      <c r="D14" s="1">
        <f t="shared" si="0"/>
        <v>0</v>
      </c>
      <c r="E14" s="1">
        <f t="shared" si="1"/>
        <v>75.650000000000006</v>
      </c>
      <c r="F14" s="35">
        <v>35</v>
      </c>
      <c r="G14" s="2">
        <f t="shared" si="7"/>
        <v>38.260253323570034</v>
      </c>
      <c r="H14" s="1">
        <f t="shared" si="2"/>
        <v>0.75650000000000006</v>
      </c>
      <c r="I14" s="1">
        <f t="shared" si="8"/>
        <v>1.41</v>
      </c>
      <c r="J14" s="3">
        <f t="shared" si="9"/>
        <v>1.0931500949591437</v>
      </c>
      <c r="K14" s="2">
        <f t="shared" si="3"/>
        <v>35.709569768665368</v>
      </c>
      <c r="L14" s="2">
        <f t="shared" si="4"/>
        <v>36.127461326631675</v>
      </c>
      <c r="M14" s="10">
        <f t="shared" si="5"/>
        <v>55.220486976517044</v>
      </c>
      <c r="N14" s="10">
        <f t="shared" si="12"/>
        <v>14.149414630341481</v>
      </c>
      <c r="O14" s="51"/>
      <c r="P14" s="14">
        <f t="shared" si="10"/>
        <v>36.127461326631675</v>
      </c>
      <c r="Q14" s="44"/>
      <c r="S14">
        <v>0.217</v>
      </c>
    </row>
    <row r="15" spans="1:19" ht="14.45" customHeight="1" thickBot="1" x14ac:dyDescent="0.3">
      <c r="A15" s="62">
        <v>5.45</v>
      </c>
      <c r="B15" s="16">
        <v>17</v>
      </c>
      <c r="C15" s="15">
        <f t="shared" si="11"/>
        <v>92.65</v>
      </c>
      <c r="D15" s="15">
        <f t="shared" si="0"/>
        <v>0</v>
      </c>
      <c r="E15" s="15">
        <f t="shared" si="1"/>
        <v>92.65</v>
      </c>
      <c r="F15" s="35">
        <v>38</v>
      </c>
      <c r="G15" s="17">
        <f t="shared" si="7"/>
        <v>38.968366529066998</v>
      </c>
      <c r="H15" s="33">
        <f t="shared" si="2"/>
        <v>0.9265000000000001</v>
      </c>
      <c r="I15" s="15">
        <f t="shared" si="8"/>
        <v>1.41</v>
      </c>
      <c r="J15" s="16">
        <f t="shared" si="9"/>
        <v>1.0254833297122894</v>
      </c>
      <c r="K15" s="17">
        <f t="shared" si="3"/>
        <v>36.3704754271292</v>
      </c>
      <c r="L15" s="17">
        <f t="shared" si="4"/>
        <v>36.32207641950275</v>
      </c>
      <c r="M15" s="18">
        <f t="shared" si="5"/>
        <v>68.113168132929644</v>
      </c>
      <c r="N15" s="18">
        <f t="shared" si="12"/>
        <v>14.322451748193826</v>
      </c>
      <c r="O15" s="51"/>
      <c r="P15" s="14">
        <f t="shared" si="10"/>
        <v>36.32207641950275</v>
      </c>
      <c r="Q15" s="44"/>
    </row>
    <row r="16" spans="1:19" ht="15.75" thickBot="1" x14ac:dyDescent="0.3">
      <c r="A16" s="65">
        <v>6.45</v>
      </c>
      <c r="B16" s="28">
        <v>17</v>
      </c>
      <c r="C16" s="26">
        <f t="shared" si="11"/>
        <v>109.65</v>
      </c>
      <c r="D16" s="26">
        <f t="shared" si="0"/>
        <v>0</v>
      </c>
      <c r="E16" s="26">
        <f t="shared" si="1"/>
        <v>109.65</v>
      </c>
      <c r="F16" s="35">
        <v>42</v>
      </c>
      <c r="G16" s="27">
        <f t="shared" si="7"/>
        <v>40.708436609325695</v>
      </c>
      <c r="H16" s="34">
        <f t="shared" si="2"/>
        <v>1.0965</v>
      </c>
      <c r="I16" s="26">
        <f t="shared" si="8"/>
        <v>0.92</v>
      </c>
      <c r="J16" s="28">
        <f>LOG10(20/H16)/LOG10(20)</f>
        <v>0.96924849069823082</v>
      </c>
      <c r="K16" s="27">
        <f>G16*(42/45)</f>
        <v>37.99454083537065</v>
      </c>
      <c r="L16" s="27">
        <f t="shared" si="4"/>
        <v>36.792929138648006</v>
      </c>
      <c r="M16" s="29">
        <f t="shared" si="5"/>
        <v>82.007577212528275</v>
      </c>
      <c r="N16" s="30">
        <f t="shared" si="12"/>
        <v>14.747661600533407</v>
      </c>
      <c r="O16" s="51"/>
      <c r="P16" s="14">
        <f t="shared" si="10"/>
        <v>36.792929138648006</v>
      </c>
      <c r="Q16" s="44"/>
    </row>
    <row r="17" spans="1:17" x14ac:dyDescent="0.25">
      <c r="A17" s="64">
        <v>7.45</v>
      </c>
      <c r="B17" s="24">
        <v>18</v>
      </c>
      <c r="C17" s="22">
        <f t="shared" ref="C17:C25" si="13">(A17-A16)*B17+C16</f>
        <v>127.65</v>
      </c>
      <c r="D17" s="22">
        <f t="shared" ref="D17:D25" si="14">IF(A17&lt;=$I$8,(0),10*(A17-$I$8))</f>
        <v>0</v>
      </c>
      <c r="E17" s="22">
        <f t="shared" ref="E17:E25" si="15">C17-D17</f>
        <v>127.65</v>
      </c>
      <c r="F17" s="35">
        <v>45</v>
      </c>
      <c r="G17" s="23">
        <f t="shared" ref="G17:G25" si="16">F17*J17</f>
        <v>41.332953984756315</v>
      </c>
      <c r="H17" s="22">
        <f t="shared" ref="H17:H25" si="17">E17/100</f>
        <v>1.2765</v>
      </c>
      <c r="I17" s="22">
        <f t="shared" ref="I17:I25" si="18">IF(H17&lt;1,(1.41),(0.92))</f>
        <v>0.92</v>
      </c>
      <c r="J17" s="24">
        <f t="shared" ref="J17:J25" si="19">LOG10(20/H17)/LOG10(20)</f>
        <v>0.91851008855014027</v>
      </c>
      <c r="K17" s="23">
        <f t="shared" ref="K17:K25" si="20">G17*(42/45)</f>
        <v>38.577423719105894</v>
      </c>
      <c r="L17" s="23">
        <f t="shared" ref="L17:L25" si="21">(15+(POWER((12.5*K17),0.5)))</f>
        <v>36.959458019013667</v>
      </c>
      <c r="M17" s="25">
        <f t="shared" ref="M17:M25" si="22">E17*TAN(L17*PI()/180)</f>
        <v>96.049636029687136</v>
      </c>
      <c r="N17" s="25">
        <f t="shared" ref="N17:N25" si="23">0.32*(K17*45/55+15)</f>
        <v>14.900270937365908</v>
      </c>
      <c r="O17" s="32"/>
      <c r="P17" s="14">
        <f t="shared" si="10"/>
        <v>36.959458019013667</v>
      </c>
      <c r="Q17" s="44"/>
    </row>
    <row r="18" spans="1:17" x14ac:dyDescent="0.25">
      <c r="A18" s="63">
        <v>8.4499999999999993</v>
      </c>
      <c r="B18" s="3">
        <v>18</v>
      </c>
      <c r="C18" s="1">
        <f t="shared" si="13"/>
        <v>145.64999999999998</v>
      </c>
      <c r="D18" s="1">
        <f t="shared" si="14"/>
        <v>0</v>
      </c>
      <c r="E18" s="1">
        <f t="shared" si="15"/>
        <v>145.64999999999998</v>
      </c>
      <c r="F18" s="35">
        <v>48</v>
      </c>
      <c r="G18" s="2">
        <f t="shared" si="16"/>
        <v>41.974848007822956</v>
      </c>
      <c r="H18" s="13">
        <f t="shared" si="17"/>
        <v>1.4564999999999997</v>
      </c>
      <c r="I18" s="1">
        <f t="shared" si="18"/>
        <v>0.92</v>
      </c>
      <c r="J18" s="3">
        <f t="shared" si="19"/>
        <v>0.87447600016297822</v>
      </c>
      <c r="K18" s="2">
        <f t="shared" si="20"/>
        <v>39.176524807301426</v>
      </c>
      <c r="L18" s="2">
        <f t="shared" si="21"/>
        <v>37.129314496641506</v>
      </c>
      <c r="M18" s="10">
        <f t="shared" si="22"/>
        <v>110.2714185139628</v>
      </c>
      <c r="N18" s="10">
        <f t="shared" si="23"/>
        <v>15.057126495002557</v>
      </c>
      <c r="O18" s="32"/>
      <c r="P18" s="14">
        <f t="shared" si="10"/>
        <v>37.129314496641506</v>
      </c>
      <c r="Q18" s="44"/>
    </row>
    <row r="19" spans="1:17" x14ac:dyDescent="0.25">
      <c r="A19" s="63">
        <v>9.4499999999999993</v>
      </c>
      <c r="B19" s="3">
        <v>18</v>
      </c>
      <c r="C19" s="1">
        <f t="shared" si="13"/>
        <v>163.64999999999998</v>
      </c>
      <c r="D19" s="1">
        <f t="shared" si="14"/>
        <v>0</v>
      </c>
      <c r="E19" s="1">
        <f t="shared" si="15"/>
        <v>163.64999999999998</v>
      </c>
      <c r="F19" s="35">
        <v>51</v>
      </c>
      <c r="G19" s="2">
        <f t="shared" si="16"/>
        <v>42.614554216117511</v>
      </c>
      <c r="H19" s="13">
        <f t="shared" si="17"/>
        <v>1.6364999999999998</v>
      </c>
      <c r="I19" s="1">
        <f t="shared" si="18"/>
        <v>0.92</v>
      </c>
      <c r="J19" s="3">
        <f t="shared" si="19"/>
        <v>0.83557949443367674</v>
      </c>
      <c r="K19" s="2">
        <f t="shared" si="20"/>
        <v>39.773583935043014</v>
      </c>
      <c r="L19" s="2">
        <f t="shared" si="21"/>
        <v>37.297304751651886</v>
      </c>
      <c r="M19" s="10">
        <f t="shared" si="22"/>
        <v>124.65572626080687</v>
      </c>
      <c r="N19" s="10">
        <f t="shared" si="23"/>
        <v>15.213447430265807</v>
      </c>
      <c r="O19" s="32"/>
      <c r="P19" s="14">
        <f t="shared" si="10"/>
        <v>37.297304751651886</v>
      </c>
      <c r="Q19" s="44"/>
    </row>
    <row r="20" spans="1:17" x14ac:dyDescent="0.25">
      <c r="A20" s="63">
        <v>10.45</v>
      </c>
      <c r="B20" s="3">
        <v>18</v>
      </c>
      <c r="C20" s="1">
        <f t="shared" si="13"/>
        <v>181.64999999999998</v>
      </c>
      <c r="D20" s="1">
        <f t="shared" si="14"/>
        <v>0</v>
      </c>
      <c r="E20" s="1">
        <f t="shared" si="15"/>
        <v>181.64999999999998</v>
      </c>
      <c r="F20" s="36">
        <v>54</v>
      </c>
      <c r="G20" s="2">
        <f t="shared" si="16"/>
        <v>43.240285185287092</v>
      </c>
      <c r="H20" s="1">
        <f t="shared" si="17"/>
        <v>1.8164999999999998</v>
      </c>
      <c r="I20" s="1">
        <f t="shared" si="18"/>
        <v>0.92</v>
      </c>
      <c r="J20" s="3">
        <f t="shared" si="19"/>
        <v>0.80074602194976097</v>
      </c>
      <c r="K20" s="2">
        <f t="shared" si="20"/>
        <v>40.357599506267952</v>
      </c>
      <c r="L20" s="2">
        <f t="shared" si="21"/>
        <v>37.460409475972369</v>
      </c>
      <c r="M20" s="10">
        <f t="shared" si="22"/>
        <v>139.18563209605631</v>
      </c>
      <c r="N20" s="10">
        <f t="shared" si="23"/>
        <v>15.366353325277428</v>
      </c>
      <c r="O20" s="32"/>
      <c r="P20" s="14">
        <f t="shared" si="10"/>
        <v>37.460409475972369</v>
      </c>
      <c r="Q20" s="44"/>
    </row>
    <row r="21" spans="1:17" x14ac:dyDescent="0.25">
      <c r="A21" s="63">
        <v>11.45</v>
      </c>
      <c r="B21" s="3">
        <v>18</v>
      </c>
      <c r="C21" s="1">
        <f t="shared" si="13"/>
        <v>199.64999999999998</v>
      </c>
      <c r="D21" s="1">
        <f t="shared" si="14"/>
        <v>0</v>
      </c>
      <c r="E21" s="1">
        <f t="shared" si="15"/>
        <v>199.64999999999998</v>
      </c>
      <c r="F21" s="36">
        <v>57</v>
      </c>
      <c r="G21" s="2">
        <f t="shared" si="16"/>
        <v>43.844768387145848</v>
      </c>
      <c r="H21" s="13">
        <f t="shared" si="17"/>
        <v>1.9964999999999997</v>
      </c>
      <c r="I21" s="1">
        <f t="shared" si="18"/>
        <v>0.92</v>
      </c>
      <c r="J21" s="3">
        <f t="shared" si="19"/>
        <v>0.76920646293238326</v>
      </c>
      <c r="K21" s="2">
        <f t="shared" si="20"/>
        <v>40.921783828002795</v>
      </c>
      <c r="L21" s="2">
        <f t="shared" si="21"/>
        <v>37.616858708716265</v>
      </c>
      <c r="M21" s="10">
        <f t="shared" si="22"/>
        <v>153.84480370260709</v>
      </c>
      <c r="N21" s="10">
        <f t="shared" si="23"/>
        <v>15.514067038604368</v>
      </c>
      <c r="O21" s="32"/>
      <c r="P21" s="14">
        <f t="shared" si="10"/>
        <v>37.616858708716265</v>
      </c>
      <c r="Q21" s="44"/>
    </row>
    <row r="22" spans="1:17" x14ac:dyDescent="0.25">
      <c r="A22" s="63">
        <v>12.45</v>
      </c>
      <c r="B22" s="3">
        <v>18</v>
      </c>
      <c r="C22" s="1">
        <f t="shared" si="13"/>
        <v>217.64999999999998</v>
      </c>
      <c r="D22" s="1">
        <f t="shared" si="14"/>
        <v>0</v>
      </c>
      <c r="E22" s="1">
        <f t="shared" si="15"/>
        <v>217.64999999999998</v>
      </c>
      <c r="F22" s="36">
        <v>59</v>
      </c>
      <c r="G22" s="2">
        <f t="shared" si="16"/>
        <v>43.68308825736068</v>
      </c>
      <c r="H22" s="13">
        <f t="shared" si="17"/>
        <v>2.1764999999999999</v>
      </c>
      <c r="I22" s="1">
        <f t="shared" si="18"/>
        <v>0.92</v>
      </c>
      <c r="J22" s="3">
        <f t="shared" si="19"/>
        <v>0.74039132639594374</v>
      </c>
      <c r="K22" s="2">
        <f t="shared" si="20"/>
        <v>40.770882373536637</v>
      </c>
      <c r="L22" s="2">
        <f t="shared" si="21"/>
        <v>37.575119704426996</v>
      </c>
      <c r="M22" s="10">
        <f t="shared" si="22"/>
        <v>167.46254975108042</v>
      </c>
      <c r="N22" s="10">
        <f t="shared" si="23"/>
        <v>15.474558294162321</v>
      </c>
      <c r="O22" s="32"/>
      <c r="P22" s="14">
        <f t="shared" si="10"/>
        <v>37.575119704426996</v>
      </c>
      <c r="Q22" s="44"/>
    </row>
    <row r="23" spans="1:17" x14ac:dyDescent="0.25">
      <c r="A23" s="63">
        <v>13.45</v>
      </c>
      <c r="B23" s="3">
        <v>18</v>
      </c>
      <c r="C23" s="1">
        <f t="shared" si="13"/>
        <v>235.64999999999998</v>
      </c>
      <c r="D23" s="1">
        <f t="shared" si="14"/>
        <v>0</v>
      </c>
      <c r="E23" s="1">
        <f t="shared" si="15"/>
        <v>235.64999999999998</v>
      </c>
      <c r="F23" s="36">
        <v>62</v>
      </c>
      <c r="G23" s="2">
        <f t="shared" si="16"/>
        <v>44.259762180078411</v>
      </c>
      <c r="H23" s="1">
        <f t="shared" si="17"/>
        <v>2.3564999999999996</v>
      </c>
      <c r="I23" s="1">
        <f t="shared" si="18"/>
        <v>0.92</v>
      </c>
      <c r="J23" s="3">
        <f t="shared" si="19"/>
        <v>0.71386713193674856</v>
      </c>
      <c r="K23" s="2">
        <f t="shared" si="20"/>
        <v>41.309111368073182</v>
      </c>
      <c r="L23" s="2">
        <f t="shared" si="21"/>
        <v>37.723641699800552</v>
      </c>
      <c r="M23" s="10">
        <f t="shared" si="22"/>
        <v>182.28638611008989</v>
      </c>
      <c r="N23" s="10">
        <f t="shared" si="23"/>
        <v>15.615476430913708</v>
      </c>
      <c r="O23" s="32"/>
      <c r="P23" s="14">
        <f t="shared" si="10"/>
        <v>37.723641699800552</v>
      </c>
      <c r="Q23" s="44"/>
    </row>
    <row r="24" spans="1:17" x14ac:dyDescent="0.25">
      <c r="A24" s="63">
        <v>14.45</v>
      </c>
      <c r="B24" s="3">
        <v>18</v>
      </c>
      <c r="C24" s="1">
        <f t="shared" si="13"/>
        <v>253.64999999999998</v>
      </c>
      <c r="D24" s="1">
        <f t="shared" si="14"/>
        <v>0</v>
      </c>
      <c r="E24" s="1">
        <f t="shared" si="15"/>
        <v>253.64999999999998</v>
      </c>
      <c r="F24" s="36">
        <v>65</v>
      </c>
      <c r="G24" s="2">
        <f t="shared" si="16"/>
        <v>44.80425784183177</v>
      </c>
      <c r="H24" s="13">
        <f t="shared" si="17"/>
        <v>2.5364999999999998</v>
      </c>
      <c r="I24" s="1">
        <f t="shared" si="18"/>
        <v>0.92</v>
      </c>
      <c r="J24" s="3">
        <f t="shared" si="19"/>
        <v>0.68929627448971953</v>
      </c>
      <c r="K24" s="2">
        <f t="shared" si="20"/>
        <v>41.817307319042989</v>
      </c>
      <c r="L24" s="2">
        <f t="shared" si="21"/>
        <v>37.862990650569699</v>
      </c>
      <c r="M24" s="10">
        <f t="shared" si="22"/>
        <v>197.19813566124589</v>
      </c>
      <c r="N24" s="10">
        <f t="shared" si="23"/>
        <v>15.748531370803983</v>
      </c>
      <c r="O24" s="32"/>
      <c r="P24" s="14">
        <f t="shared" si="10"/>
        <v>37.862990650569699</v>
      </c>
      <c r="Q24" s="44"/>
    </row>
    <row r="25" spans="1:17" x14ac:dyDescent="0.25">
      <c r="A25" s="63">
        <v>15.45</v>
      </c>
      <c r="B25" s="3">
        <v>18</v>
      </c>
      <c r="C25" s="1">
        <f t="shared" si="13"/>
        <v>271.64999999999998</v>
      </c>
      <c r="D25" s="1">
        <f t="shared" si="14"/>
        <v>0</v>
      </c>
      <c r="E25" s="1">
        <f t="shared" si="15"/>
        <v>271.64999999999998</v>
      </c>
      <c r="F25" s="36">
        <v>68</v>
      </c>
      <c r="G25" s="2">
        <f t="shared" si="16"/>
        <v>45.315926354118758</v>
      </c>
      <c r="H25" s="13">
        <f t="shared" si="17"/>
        <v>2.7164999999999999</v>
      </c>
      <c r="I25" s="1">
        <f t="shared" si="18"/>
        <v>0.92</v>
      </c>
      <c r="J25" s="3">
        <f t="shared" si="19"/>
        <v>0.66641068167821704</v>
      </c>
      <c r="K25" s="2">
        <f t="shared" si="20"/>
        <v>42.294864597177508</v>
      </c>
      <c r="L25" s="2">
        <f t="shared" si="21"/>
        <v>37.993168713005147</v>
      </c>
      <c r="M25" s="10">
        <f t="shared" si="22"/>
        <v>212.1840867712724</v>
      </c>
      <c r="N25" s="10">
        <f t="shared" si="23"/>
        <v>15.873564549079202</v>
      </c>
      <c r="O25" s="32"/>
      <c r="P25" s="14">
        <f t="shared" si="10"/>
        <v>37.993168713005147</v>
      </c>
      <c r="Q25" s="44"/>
    </row>
    <row r="26" spans="1:17" x14ac:dyDescent="0.25">
      <c r="A26" s="20"/>
    </row>
    <row r="27" spans="1:17" x14ac:dyDescent="0.25">
      <c r="A27" s="37" t="s">
        <v>33</v>
      </c>
      <c r="B27" s="37"/>
    </row>
    <row r="29" spans="1:17" ht="15.75" thickBot="1" x14ac:dyDescent="0.3">
      <c r="A29" s="21"/>
      <c r="B29" s="21"/>
      <c r="C29" s="21"/>
      <c r="D29" s="21"/>
    </row>
    <row r="30" spans="1:17" x14ac:dyDescent="0.25">
      <c r="A30" t="s">
        <v>34</v>
      </c>
    </row>
    <row r="31" spans="1:17" x14ac:dyDescent="0.25">
      <c r="A31" t="s">
        <v>35</v>
      </c>
    </row>
    <row r="32" spans="1:17" x14ac:dyDescent="0.25">
      <c r="A32" t="s">
        <v>36</v>
      </c>
    </row>
  </sheetData>
  <mergeCells count="21">
    <mergeCell ref="A2:Q2"/>
    <mergeCell ref="A3:Q3"/>
    <mergeCell ref="A4:Q4"/>
    <mergeCell ref="A5:B5"/>
    <mergeCell ref="C5:Q5"/>
    <mergeCell ref="Q10:Q12"/>
    <mergeCell ref="Q13:Q25"/>
    <mergeCell ref="A6:B6"/>
    <mergeCell ref="C6:Q6"/>
    <mergeCell ref="N7:Q7"/>
    <mergeCell ref="A8:B8"/>
    <mergeCell ref="C8:D8"/>
    <mergeCell ref="F8:G8"/>
    <mergeCell ref="N8:Q8"/>
    <mergeCell ref="A7:B7"/>
    <mergeCell ref="O11:O16"/>
    <mergeCell ref="A27:B27"/>
    <mergeCell ref="C7:E7"/>
    <mergeCell ref="F7:G7"/>
    <mergeCell ref="J7:K8"/>
    <mergeCell ref="L7:M8"/>
  </mergeCells>
  <pageMargins left="0.51181102362204722" right="0.51181102362204722" top="0.55118110236220474" bottom="0.55118110236220474" header="0.31496062992125984" footer="0.31496062992125984"/>
  <pageSetup orientation="landscape" r:id="rId1"/>
  <headerFooter>
    <oddFooter>&amp;C&amp;"Arial,Normal"&amp;8MEMORIAS DE CÁLCULO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P3</vt:lpstr>
      <vt:lpstr>'P3'!Área_de_impresión</vt:lpstr>
    </vt:vector>
  </TitlesOfParts>
  <Company>Familia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Gomez</dc:creator>
  <cp:lastModifiedBy>Paola Andrea Garcia Tangarife</cp:lastModifiedBy>
  <cp:lastPrinted>2025-10-31T04:57:46Z</cp:lastPrinted>
  <dcterms:created xsi:type="dcterms:W3CDTF">2010-03-28T21:22:08Z</dcterms:created>
  <dcterms:modified xsi:type="dcterms:W3CDTF">2026-05-27T16:28:18Z</dcterms:modified>
</cp:coreProperties>
</file>