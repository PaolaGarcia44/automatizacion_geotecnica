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scargas\COPACABANA NESTOR\"/>
    </mc:Choice>
  </mc:AlternateContent>
  <xr:revisionPtr revIDLastSave="0" documentId="13_ncr:1_{D37D9AEB-57D8-4227-A05E-19663CFACB5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3" sheetId="50" r:id="rId1"/>
    <sheet name="E" sheetId="47" r:id="rId2"/>
    <sheet name="Parámetros" sheetId="48" r:id="rId3"/>
  </sheets>
  <definedNames>
    <definedName name="_xlnm.Print_Area" localSheetId="0">'P3'!$A$2:$Q$32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7" i="50" l="1"/>
  <c r="D18" i="50"/>
  <c r="D19" i="50"/>
  <c r="D20" i="50"/>
  <c r="D21" i="50"/>
  <c r="D22" i="50"/>
  <c r="D23" i="50"/>
  <c r="D24" i="50"/>
  <c r="D25" i="50"/>
  <c r="M15" i="48" l="1"/>
  <c r="L13" i="48"/>
  <c r="L16" i="48" l="1"/>
  <c r="E34" i="47"/>
  <c r="G34" i="47"/>
  <c r="E35" i="47"/>
  <c r="G35" i="47"/>
  <c r="E36" i="47"/>
  <c r="G36" i="47"/>
  <c r="E37" i="47"/>
  <c r="G37" i="47"/>
  <c r="E38" i="47"/>
  <c r="G38" i="47"/>
  <c r="E20" i="47"/>
  <c r="G20" i="47"/>
  <c r="E21" i="47"/>
  <c r="F21" i="47"/>
  <c r="G21" i="47"/>
  <c r="E22" i="47"/>
  <c r="F22" i="47"/>
  <c r="G22" i="47"/>
  <c r="E23" i="47"/>
  <c r="F23" i="47"/>
  <c r="G23" i="47"/>
  <c r="E24" i="47"/>
  <c r="F24" i="47"/>
  <c r="G24" i="47"/>
  <c r="E25" i="47"/>
  <c r="F25" i="47"/>
  <c r="G25" i="47"/>
  <c r="E26" i="47"/>
  <c r="F26" i="47"/>
  <c r="G26" i="47"/>
  <c r="E6" i="47"/>
  <c r="G6" i="47"/>
  <c r="J14" i="48" s="1"/>
  <c r="E7" i="47"/>
  <c r="F7" i="47"/>
  <c r="G7" i="47"/>
  <c r="E8" i="47"/>
  <c r="F8" i="47"/>
  <c r="G8" i="47"/>
  <c r="E9" i="47"/>
  <c r="F9" i="47"/>
  <c r="G9" i="47"/>
  <c r="E10" i="47"/>
  <c r="F10" i="47"/>
  <c r="G10" i="47"/>
  <c r="E11" i="47"/>
  <c r="F11" i="47"/>
  <c r="G11" i="47"/>
  <c r="L6" i="47" l="1"/>
  <c r="L10" i="47" s="1"/>
  <c r="D14" i="48" s="1"/>
  <c r="E39" i="47" l="1"/>
  <c r="G39" i="47"/>
  <c r="E40" i="47"/>
  <c r="F40" i="47"/>
  <c r="G40" i="47"/>
  <c r="E41" i="47"/>
  <c r="F41" i="47"/>
  <c r="G41" i="47"/>
  <c r="E42" i="47"/>
  <c r="F42" i="47"/>
  <c r="G42" i="47"/>
  <c r="E27" i="47"/>
  <c r="F27" i="47"/>
  <c r="G27" i="47"/>
  <c r="E28" i="47"/>
  <c r="F28" i="47"/>
  <c r="G28" i="47"/>
  <c r="E12" i="47"/>
  <c r="F12" i="47"/>
  <c r="G12" i="47"/>
  <c r="E13" i="47"/>
  <c r="F13" i="47"/>
  <c r="G13" i="47"/>
  <c r="E14" i="47"/>
  <c r="F14" i="47"/>
  <c r="G14" i="47"/>
  <c r="M13" i="48" l="1"/>
  <c r="M12" i="48"/>
  <c r="Q15" i="47"/>
  <c r="P15" i="47"/>
  <c r="B33" i="47"/>
  <c r="H33" i="47" s="1"/>
  <c r="B40" i="47"/>
  <c r="B42" i="47"/>
  <c r="G32" i="47"/>
  <c r="F32" i="47"/>
  <c r="E32" i="47"/>
  <c r="D32" i="47"/>
  <c r="C32" i="47"/>
  <c r="B32" i="47"/>
  <c r="A32" i="47"/>
  <c r="A40" i="47"/>
  <c r="A41" i="47"/>
  <c r="A42" i="47"/>
  <c r="C42" i="47"/>
  <c r="D42" i="47"/>
  <c r="A33" i="47"/>
  <c r="E33" i="47"/>
  <c r="G33" i="47"/>
  <c r="A34" i="47"/>
  <c r="A35" i="47"/>
  <c r="A36" i="47"/>
  <c r="A37" i="47"/>
  <c r="A38" i="47"/>
  <c r="A39" i="47"/>
  <c r="B19" i="47"/>
  <c r="H19" i="47" s="1"/>
  <c r="E19" i="47"/>
  <c r="G19" i="47"/>
  <c r="B27" i="47"/>
  <c r="C27" i="47"/>
  <c r="D27" i="47"/>
  <c r="B28" i="47"/>
  <c r="C28" i="47"/>
  <c r="D28" i="47"/>
  <c r="A19" i="47"/>
  <c r="A20" i="47"/>
  <c r="A21" i="47"/>
  <c r="A22" i="47"/>
  <c r="P8" i="47" s="1"/>
  <c r="A23" i="47"/>
  <c r="P9" i="47" s="1"/>
  <c r="A24" i="47"/>
  <c r="P10" i="47" s="1"/>
  <c r="A25" i="47"/>
  <c r="P11" i="47" s="1"/>
  <c r="A26" i="47"/>
  <c r="P12" i="47" s="1"/>
  <c r="A27" i="47"/>
  <c r="P13" i="47" s="1"/>
  <c r="A28" i="47"/>
  <c r="P14" i="47" s="1"/>
  <c r="G18" i="47"/>
  <c r="F18" i="47"/>
  <c r="E18" i="47"/>
  <c r="D18" i="47"/>
  <c r="C18" i="47"/>
  <c r="B18" i="47"/>
  <c r="A18" i="47"/>
  <c r="A9" i="47"/>
  <c r="A10" i="47"/>
  <c r="A11" i="47"/>
  <c r="A12" i="47"/>
  <c r="A13" i="47"/>
  <c r="B13" i="47"/>
  <c r="A14" i="47"/>
  <c r="B14" i="47"/>
  <c r="D16" i="50"/>
  <c r="D15" i="50"/>
  <c r="D14" i="50"/>
  <c r="D13" i="50"/>
  <c r="D12" i="50"/>
  <c r="D11" i="50"/>
  <c r="B34" i="47"/>
  <c r="D10" i="50"/>
  <c r="C10" i="50"/>
  <c r="F20" i="47" l="1"/>
  <c r="F6" i="47"/>
  <c r="B20" i="47"/>
  <c r="E10" i="50"/>
  <c r="H10" i="50" s="1"/>
  <c r="B35" i="47"/>
  <c r="C11" i="50"/>
  <c r="E11" i="50" s="1"/>
  <c r="B21" i="47" l="1"/>
  <c r="C12" i="50"/>
  <c r="E12" i="50" s="1"/>
  <c r="H12" i="50" s="1"/>
  <c r="I12" i="50" s="1"/>
  <c r="B41" i="47"/>
  <c r="J10" i="50"/>
  <c r="G10" i="50" s="1"/>
  <c r="K10" i="50" s="1"/>
  <c r="C33" i="47" s="1"/>
  <c r="I10" i="50"/>
  <c r="H11" i="50"/>
  <c r="C19" i="47"/>
  <c r="M16" i="48"/>
  <c r="B36" i="47" l="1"/>
  <c r="C13" i="50"/>
  <c r="E13" i="50" s="1"/>
  <c r="H13" i="50" s="1"/>
  <c r="B37" i="47"/>
  <c r="C20" i="47"/>
  <c r="D20" i="47"/>
  <c r="B22" i="47"/>
  <c r="B23" i="47"/>
  <c r="L10" i="50"/>
  <c r="N10" i="50"/>
  <c r="I11" i="50"/>
  <c r="J11" i="50"/>
  <c r="J12" i="50"/>
  <c r="E5" i="47"/>
  <c r="L5" i="47" s="1"/>
  <c r="G12" i="50" l="1"/>
  <c r="K12" i="50" s="1"/>
  <c r="G11" i="50"/>
  <c r="K11" i="50" s="1"/>
  <c r="C14" i="50"/>
  <c r="E14" i="50" s="1"/>
  <c r="H14" i="50" s="1"/>
  <c r="M10" i="50"/>
  <c r="P10" i="50"/>
  <c r="D11" i="48"/>
  <c r="M11" i="48" s="1"/>
  <c r="B39" i="47"/>
  <c r="B38" i="47"/>
  <c r="D33" i="47"/>
  <c r="I33" i="47" s="1"/>
  <c r="D19" i="47"/>
  <c r="I19" i="47" s="1"/>
  <c r="I13" i="50"/>
  <c r="J13" i="50"/>
  <c r="N11" i="50" l="1"/>
  <c r="D34" i="47" s="1"/>
  <c r="C34" i="47"/>
  <c r="L11" i="50"/>
  <c r="M11" i="50" s="1"/>
  <c r="C35" i="47"/>
  <c r="N12" i="50"/>
  <c r="D35" i="47" s="1"/>
  <c r="L12" i="50"/>
  <c r="P12" i="50" s="1"/>
  <c r="F35" i="47" s="1"/>
  <c r="G13" i="50"/>
  <c r="K13" i="50" s="1"/>
  <c r="C15" i="50"/>
  <c r="E15" i="50" s="1"/>
  <c r="H15" i="50" s="1"/>
  <c r="H34" i="47"/>
  <c r="F33" i="47"/>
  <c r="F19" i="47"/>
  <c r="B25" i="47"/>
  <c r="C21" i="47"/>
  <c r="B24" i="47"/>
  <c r="I14" i="50"/>
  <c r="J14" i="50"/>
  <c r="M12" i="50" l="1"/>
  <c r="C36" i="47"/>
  <c r="L13" i="50"/>
  <c r="P13" i="50" s="1"/>
  <c r="F36" i="47" s="1"/>
  <c r="N13" i="50"/>
  <c r="D36" i="47" s="1"/>
  <c r="P11" i="50"/>
  <c r="F34" i="47" s="1"/>
  <c r="M6" i="47" s="1"/>
  <c r="M10" i="47" s="1"/>
  <c r="E14" i="48" s="1"/>
  <c r="G14" i="50"/>
  <c r="K14" i="50" s="1"/>
  <c r="C16" i="50"/>
  <c r="H20" i="47"/>
  <c r="C22" i="47"/>
  <c r="D22" i="47"/>
  <c r="D21" i="47"/>
  <c r="J15" i="50"/>
  <c r="I15" i="50"/>
  <c r="P6" i="47"/>
  <c r="P7" i="47"/>
  <c r="A6" i="47"/>
  <c r="A7" i="47"/>
  <c r="A8" i="47"/>
  <c r="M13" i="50" l="1"/>
  <c r="N14" i="50"/>
  <c r="D37" i="47" s="1"/>
  <c r="L14" i="50"/>
  <c r="P14" i="50" s="1"/>
  <c r="F37" i="47" s="1"/>
  <c r="C37" i="47"/>
  <c r="G15" i="50"/>
  <c r="K15" i="50" s="1"/>
  <c r="C38" i="47" s="1"/>
  <c r="E16" i="50"/>
  <c r="H16" i="50" s="1"/>
  <c r="J16" i="50" s="1"/>
  <c r="C17" i="50"/>
  <c r="L15" i="48"/>
  <c r="F14" i="48"/>
  <c r="G14" i="48"/>
  <c r="C23" i="47"/>
  <c r="D23" i="47"/>
  <c r="B26" i="47"/>
  <c r="I16" i="50"/>
  <c r="M14" i="50" l="1"/>
  <c r="N15" i="50"/>
  <c r="D38" i="47" s="1"/>
  <c r="G16" i="50"/>
  <c r="K16" i="50" s="1"/>
  <c r="L15" i="50"/>
  <c r="M15" i="50" s="1"/>
  <c r="E17" i="50"/>
  <c r="H17" i="50" s="1"/>
  <c r="C18" i="50"/>
  <c r="C24" i="47"/>
  <c r="D24" i="47"/>
  <c r="C40" i="47"/>
  <c r="B6" i="47"/>
  <c r="B9" i="47"/>
  <c r="C39" i="47" l="1"/>
  <c r="N16" i="50"/>
  <c r="D39" i="47" s="1"/>
  <c r="I34" i="47" s="1"/>
  <c r="L16" i="50"/>
  <c r="M16" i="50" s="1"/>
  <c r="P15" i="50"/>
  <c r="F38" i="47" s="1"/>
  <c r="E18" i="50"/>
  <c r="H18" i="50" s="1"/>
  <c r="C19" i="50"/>
  <c r="J17" i="50"/>
  <c r="I17" i="50"/>
  <c r="C25" i="47"/>
  <c r="C41" i="47"/>
  <c r="B7" i="47"/>
  <c r="G17" i="50" l="1"/>
  <c r="K17" i="50" s="1"/>
  <c r="P16" i="50"/>
  <c r="F39" i="47" s="1"/>
  <c r="E19" i="50"/>
  <c r="H19" i="50" s="1"/>
  <c r="C20" i="50"/>
  <c r="I18" i="50"/>
  <c r="J18" i="50"/>
  <c r="B11" i="47"/>
  <c r="B10" i="47"/>
  <c r="D40" i="47"/>
  <c r="D25" i="47"/>
  <c r="I20" i="47" s="1"/>
  <c r="D41" i="47"/>
  <c r="R13" i="47" s="1"/>
  <c r="C26" i="47"/>
  <c r="B8" i="47"/>
  <c r="H6" i="47" s="1"/>
  <c r="K6" i="47" s="1"/>
  <c r="C4" i="47"/>
  <c r="N17" i="50" l="1"/>
  <c r="L17" i="50"/>
  <c r="M17" i="50" s="1"/>
  <c r="G18" i="50"/>
  <c r="K18" i="50" s="1"/>
  <c r="C21" i="50"/>
  <c r="E20" i="50"/>
  <c r="H20" i="50" s="1"/>
  <c r="J19" i="50"/>
  <c r="I19" i="50"/>
  <c r="C14" i="48"/>
  <c r="L14" i="48" s="1"/>
  <c r="K10" i="47"/>
  <c r="B4" i="47"/>
  <c r="B5" i="47"/>
  <c r="H5" i="47" s="1"/>
  <c r="A4" i="47"/>
  <c r="P4" i="47" s="1"/>
  <c r="D4" i="47"/>
  <c r="F4" i="47"/>
  <c r="G4" i="47"/>
  <c r="E4" i="47"/>
  <c r="P5" i="47"/>
  <c r="G5" i="47"/>
  <c r="J11" i="48" s="1"/>
  <c r="A5" i="47"/>
  <c r="P17" i="50" l="1"/>
  <c r="N18" i="50"/>
  <c r="L18" i="50"/>
  <c r="M18" i="50" s="1"/>
  <c r="G19" i="50"/>
  <c r="K19" i="50" s="1"/>
  <c r="I20" i="50"/>
  <c r="J20" i="50"/>
  <c r="C22" i="50"/>
  <c r="E21" i="50"/>
  <c r="H21" i="50" s="1"/>
  <c r="K5" i="47"/>
  <c r="C11" i="48" s="1"/>
  <c r="L11" i="48" s="1"/>
  <c r="B12" i="47"/>
  <c r="D26" i="47"/>
  <c r="P18" i="50" l="1"/>
  <c r="N19" i="50"/>
  <c r="L19" i="50"/>
  <c r="M19" i="50" s="1"/>
  <c r="G20" i="50"/>
  <c r="K20" i="50" s="1"/>
  <c r="I21" i="50"/>
  <c r="J21" i="50"/>
  <c r="E22" i="50"/>
  <c r="H22" i="50" s="1"/>
  <c r="C23" i="50"/>
  <c r="M14" i="48"/>
  <c r="P19" i="50" l="1"/>
  <c r="N20" i="50"/>
  <c r="L20" i="50"/>
  <c r="M20" i="50" s="1"/>
  <c r="G21" i="50"/>
  <c r="K21" i="50" s="1"/>
  <c r="E23" i="50"/>
  <c r="H23" i="50" s="1"/>
  <c r="C24" i="50"/>
  <c r="I22" i="50"/>
  <c r="J22" i="50"/>
  <c r="C6" i="47"/>
  <c r="Q6" i="47" s="1"/>
  <c r="D6" i="47"/>
  <c r="R6" i="47" s="1"/>
  <c r="C5" i="47"/>
  <c r="Q5" i="47" s="1"/>
  <c r="P20" i="50" l="1"/>
  <c r="L21" i="50"/>
  <c r="M21" i="50" s="1"/>
  <c r="N21" i="50"/>
  <c r="G22" i="50"/>
  <c r="K22" i="50" s="1"/>
  <c r="C25" i="50"/>
  <c r="E25" i="50" s="1"/>
  <c r="H25" i="50" s="1"/>
  <c r="E24" i="50"/>
  <c r="H24" i="50" s="1"/>
  <c r="J23" i="50"/>
  <c r="I23" i="50"/>
  <c r="F5" i="47"/>
  <c r="D5" i="47"/>
  <c r="P21" i="50" l="1"/>
  <c r="N22" i="50"/>
  <c r="L22" i="50"/>
  <c r="P22" i="50" s="1"/>
  <c r="G23" i="50"/>
  <c r="K23" i="50" s="1"/>
  <c r="J24" i="50"/>
  <c r="I24" i="50"/>
  <c r="I25" i="50"/>
  <c r="J25" i="50"/>
  <c r="M22" i="50"/>
  <c r="M5" i="47"/>
  <c r="E11" i="48" s="1"/>
  <c r="L12" i="48" s="1"/>
  <c r="I5" i="47"/>
  <c r="R5" i="47"/>
  <c r="C9" i="47"/>
  <c r="Q9" i="47" s="1"/>
  <c r="D9" i="47"/>
  <c r="R9" i="47" s="1"/>
  <c r="C7" i="47"/>
  <c r="Q7" i="47" s="1"/>
  <c r="L23" i="50" l="1"/>
  <c r="M23" i="50" s="1"/>
  <c r="N23" i="50"/>
  <c r="G25" i="50"/>
  <c r="K25" i="50" s="1"/>
  <c r="G24" i="50"/>
  <c r="K24" i="50" s="1"/>
  <c r="P23" i="50"/>
  <c r="F11" i="48"/>
  <c r="G11" i="48"/>
  <c r="C10" i="47"/>
  <c r="Q10" i="47" s="1"/>
  <c r="D10" i="47"/>
  <c r="R10" i="47" s="1"/>
  <c r="D7" i="47"/>
  <c r="R7" i="47" s="1"/>
  <c r="C8" i="47"/>
  <c r="Q8" i="47" s="1"/>
  <c r="D8" i="47"/>
  <c r="R8" i="47" s="1"/>
  <c r="L25" i="50" l="1"/>
  <c r="N25" i="50"/>
  <c r="L24" i="50"/>
  <c r="M24" i="50" s="1"/>
  <c r="N24" i="50"/>
  <c r="M25" i="50"/>
  <c r="P25" i="50"/>
  <c r="C11" i="47"/>
  <c r="Q11" i="47" s="1"/>
  <c r="N5" i="47"/>
  <c r="I11" i="48" s="1"/>
  <c r="C12" i="47"/>
  <c r="Q12" i="47" s="1"/>
  <c r="P24" i="50" l="1"/>
  <c r="D11" i="47"/>
  <c r="R11" i="47" s="1"/>
  <c r="C14" i="47"/>
  <c r="Q14" i="47" s="1"/>
  <c r="C13" i="47"/>
  <c r="Q13" i="47" s="1"/>
  <c r="D12" i="47"/>
  <c r="R12" i="47" s="1"/>
  <c r="I6" i="47" l="1"/>
  <c r="N6" i="47" s="1"/>
  <c r="I14" i="48" s="1"/>
  <c r="D14" i="47"/>
  <c r="R14" i="47" s="1"/>
  <c r="D13" i="47"/>
</calcChain>
</file>

<file path=xl/sharedStrings.xml><?xml version="1.0" encoding="utf-8"?>
<sst xmlns="http://schemas.openxmlformats.org/spreadsheetml/2006/main" count="85" uniqueCount="78">
  <si>
    <t>Z(m)</t>
  </si>
  <si>
    <t>N(campo)</t>
  </si>
  <si>
    <r>
      <t>N1</t>
    </r>
    <r>
      <rPr>
        <sz val="8"/>
        <color indexed="8"/>
        <rFont val="Calibri"/>
        <family val="2"/>
      </rPr>
      <t>(Confina)</t>
    </r>
  </si>
  <si>
    <t>Suelo</t>
  </si>
  <si>
    <t>CORRELACIÓN GEOTÉCNICA DE PARÁMETROS GEOMECÁNICOS</t>
  </si>
  <si>
    <t>MEMORIAS DE CÁLCULO</t>
  </si>
  <si>
    <t>Parámetro:</t>
  </si>
  <si>
    <t>Proyecto:</t>
  </si>
  <si>
    <t>Fecha:</t>
  </si>
  <si>
    <r>
      <t>N</t>
    </r>
    <r>
      <rPr>
        <sz val="8"/>
        <color indexed="8"/>
        <rFont val="Calibri"/>
        <family val="2"/>
      </rPr>
      <t>1(45)</t>
    </r>
  </si>
  <si>
    <t>Rs</t>
  </si>
  <si>
    <r>
      <t>Z</t>
    </r>
    <r>
      <rPr>
        <sz val="8"/>
        <color indexed="8"/>
        <rFont val="Arial"/>
        <family val="2"/>
      </rPr>
      <t>NF(m)=</t>
    </r>
  </si>
  <si>
    <t>K (Marcuson)</t>
  </si>
  <si>
    <t>Gonzales 1999</t>
  </si>
  <si>
    <t>Sondeo:</t>
  </si>
  <si>
    <r>
      <rPr>
        <sz val="8"/>
        <color indexed="8"/>
        <rFont val="Symbol"/>
        <family val="1"/>
        <charset val="2"/>
      </rPr>
      <t>f</t>
    </r>
    <r>
      <rPr>
        <sz val="11"/>
        <color indexed="8"/>
        <rFont val="Calibri"/>
        <family val="2"/>
      </rPr>
      <t>'</t>
    </r>
    <r>
      <rPr>
        <sz val="8"/>
        <color indexed="8"/>
        <rFont val="Symbol"/>
        <family val="1"/>
        <charset val="2"/>
      </rPr>
      <t xml:space="preserve"> </t>
    </r>
    <r>
      <rPr>
        <sz val="10"/>
        <color indexed="8"/>
        <rFont val="Symbol"/>
        <family val="1"/>
        <charset val="2"/>
      </rPr>
      <t>(</t>
    </r>
    <r>
      <rPr>
        <sz val="10"/>
        <color indexed="8"/>
        <rFont val="Calibri"/>
        <family val="2"/>
      </rPr>
      <t>°</t>
    </r>
    <r>
      <rPr>
        <sz val="11"/>
        <color indexed="8"/>
        <rFont val="Calibri"/>
        <family val="2"/>
      </rPr>
      <t>)</t>
    </r>
    <r>
      <rPr>
        <sz val="8"/>
        <color indexed="8"/>
        <rFont val="Calibri"/>
        <family val="2"/>
      </rPr>
      <t xml:space="preserve"> </t>
    </r>
  </si>
  <si>
    <t>Método de Cálculo:</t>
  </si>
  <si>
    <r>
      <rPr>
        <sz val="8"/>
        <color indexed="8"/>
        <rFont val="Symbol"/>
        <family val="1"/>
        <charset val="2"/>
      </rPr>
      <t>f</t>
    </r>
    <r>
      <rPr>
        <sz val="11"/>
        <color indexed="8"/>
        <rFont val="Calibri"/>
        <family val="2"/>
      </rPr>
      <t>'</t>
    </r>
    <r>
      <rPr>
        <sz val="8"/>
        <color indexed="8"/>
        <rFont val="Calibri"/>
        <family val="2"/>
      </rPr>
      <t>eq</t>
    </r>
    <r>
      <rPr>
        <sz val="11"/>
        <color indexed="8"/>
        <rFont val="Calibri"/>
        <family val="2"/>
      </rPr>
      <t xml:space="preserve"> (°)</t>
    </r>
  </si>
  <si>
    <t>Seed Idriss (Marcuson) (Cn &lt;=2)</t>
  </si>
  <si>
    <t>Cn</t>
  </si>
  <si>
    <t>Kishida ajustada a e=45%</t>
  </si>
  <si>
    <t>P-1</t>
  </si>
  <si>
    <t>Peso del Martinete (Kg):</t>
  </si>
  <si>
    <t>Altura de caída (m):</t>
  </si>
  <si>
    <t>P-2</t>
  </si>
  <si>
    <t>P-3</t>
  </si>
  <si>
    <t>E (MPa)</t>
  </si>
  <si>
    <t>MÓDULOS DE ELASTICIDAD</t>
  </si>
  <si>
    <t>Sondeo</t>
  </si>
  <si>
    <t>Eprom</t>
  </si>
  <si>
    <t>EpromT</t>
  </si>
  <si>
    <t>E (kPa)</t>
  </si>
  <si>
    <t>PARÁMETROS GEOMECÁNICOS PARA DISEÑO</t>
  </si>
  <si>
    <t>Cohesión</t>
  </si>
  <si>
    <t>Módulo de Elasticidad</t>
  </si>
  <si>
    <t>Ka</t>
  </si>
  <si>
    <t>Kp</t>
  </si>
  <si>
    <t>n</t>
  </si>
  <si>
    <t>g prom</t>
  </si>
  <si>
    <r>
      <rPr>
        <sz val="8"/>
        <color indexed="8"/>
        <rFont val="Symbol"/>
        <family val="1"/>
        <charset val="2"/>
      </rPr>
      <t xml:space="preserve">g </t>
    </r>
    <r>
      <rPr>
        <sz val="8"/>
        <color indexed="8"/>
        <rFont val="Arial"/>
        <family val="2"/>
      </rPr>
      <t>(kN/m3)</t>
    </r>
  </si>
  <si>
    <r>
      <rPr>
        <sz val="8"/>
        <color indexed="8"/>
        <rFont val="Symbol"/>
        <family val="1"/>
        <charset val="2"/>
      </rPr>
      <t>s</t>
    </r>
    <r>
      <rPr>
        <sz val="8"/>
        <color indexed="8"/>
        <rFont val="Calibri"/>
        <family val="2"/>
      </rPr>
      <t>v (kPa)</t>
    </r>
  </si>
  <si>
    <r>
      <t xml:space="preserve">m </t>
    </r>
    <r>
      <rPr>
        <sz val="8"/>
        <color indexed="8"/>
        <rFont val="Arial"/>
        <family val="2"/>
      </rPr>
      <t>(kPa)</t>
    </r>
  </si>
  <si>
    <r>
      <rPr>
        <sz val="8"/>
        <color indexed="8"/>
        <rFont val="Symbol"/>
        <family val="1"/>
        <charset val="2"/>
      </rPr>
      <t>s</t>
    </r>
    <r>
      <rPr>
        <sz val="8"/>
        <color indexed="8"/>
        <rFont val="Calibri"/>
        <family val="2"/>
      </rPr>
      <t>´v (kPa)</t>
    </r>
  </si>
  <si>
    <r>
      <rPr>
        <sz val="8"/>
        <color indexed="8"/>
        <rFont val="Symbol"/>
        <family val="1"/>
        <charset val="2"/>
      </rPr>
      <t>t</t>
    </r>
    <r>
      <rPr>
        <sz val="8"/>
        <color indexed="8"/>
        <rFont val="Calibri"/>
        <family val="2"/>
      </rPr>
      <t xml:space="preserve"> (kPa)</t>
    </r>
  </si>
  <si>
    <r>
      <t>C</t>
    </r>
    <r>
      <rPr>
        <sz val="10"/>
        <color indexed="8"/>
        <rFont val="Calibri"/>
        <family val="2"/>
      </rPr>
      <t xml:space="preserve">' </t>
    </r>
    <r>
      <rPr>
        <sz val="8"/>
        <color indexed="8"/>
        <rFont val="Calibri"/>
        <family val="2"/>
      </rPr>
      <t>(kPa)</t>
    </r>
  </si>
  <si>
    <t>N1(45)</t>
  </si>
  <si>
    <t>c prom</t>
  </si>
  <si>
    <t>fi prom</t>
  </si>
  <si>
    <t>gama prom</t>
  </si>
  <si>
    <t>PROYECTO</t>
  </si>
  <si>
    <t>UBICACIÓN</t>
  </si>
  <si>
    <t>FECHA</t>
  </si>
  <si>
    <t xml:space="preserve">Profundidad </t>
  </si>
  <si>
    <t>Peso específico</t>
  </si>
  <si>
    <t>Ángulo de fricción</t>
  </si>
  <si>
    <t>Coeficiente empuje activo</t>
  </si>
  <si>
    <t>Coeficiente empuje pasivo</t>
  </si>
  <si>
    <t>Relación de Poisson</t>
  </si>
  <si>
    <t>Unidad geológica - geotécnica</t>
  </si>
  <si>
    <t>Z (m)</t>
  </si>
  <si>
    <r>
      <rPr>
        <b/>
        <sz val="11"/>
        <color theme="1"/>
        <rFont val="Symbol"/>
        <family val="1"/>
        <charset val="2"/>
      </rPr>
      <t>f</t>
    </r>
    <r>
      <rPr>
        <b/>
        <sz val="11"/>
        <color theme="1"/>
        <rFont val="Calibri"/>
        <family val="2"/>
        <scheme val="minor"/>
      </rPr>
      <t xml:space="preserve"> (°)</t>
    </r>
  </si>
  <si>
    <r>
      <rPr>
        <b/>
        <sz val="11"/>
        <color theme="1"/>
        <rFont val="Symbol"/>
        <family val="1"/>
        <charset val="2"/>
      </rPr>
      <t>g</t>
    </r>
    <r>
      <rPr>
        <b/>
        <sz val="11"/>
        <color theme="1"/>
        <rFont val="Calibri"/>
        <family val="2"/>
        <scheme val="minor"/>
      </rPr>
      <t xml:space="preserve"> (kN/m</t>
    </r>
    <r>
      <rPr>
        <b/>
        <vertAlign val="super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>)</t>
    </r>
  </si>
  <si>
    <r>
      <t>c (kN/m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</si>
  <si>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r>
      <t>E (kN/m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</si>
  <si>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t>N.A.</t>
  </si>
  <si>
    <t>0.00 - 1.00</t>
  </si>
  <si>
    <t>1.00 - 6.45</t>
  </si>
  <si>
    <t xml:space="preserve">Vereda La Clara, Guarne, Antioquia </t>
  </si>
  <si>
    <t>Marzo de 2022</t>
  </si>
  <si>
    <t>Estudio Geotécnico lote 76 - Parcelación La Pinera</t>
  </si>
  <si>
    <r>
      <t>Ángulo de Fricción Interna (</t>
    </r>
    <r>
      <rPr>
        <sz val="8"/>
        <color indexed="8"/>
        <rFont val="Arial"/>
        <family val="2"/>
      </rPr>
      <t>ø°)  a partir del Standard Penetratión Testing (S.P.T.).</t>
    </r>
  </si>
  <si>
    <t>Cordialmente</t>
  </si>
  <si>
    <t>EDWIN MARIN MONTOYA</t>
  </si>
  <si>
    <t>Ingeniero Civil</t>
  </si>
  <si>
    <t>MP 05202-254406</t>
  </si>
  <si>
    <t>Material tipo depósito aluvial compuesto por una arena limosa café pardo con vetas grises y fragmentos de roca en profundidad</t>
  </si>
  <si>
    <t>Piso duro, entresuelo y lleno antrópico compuesto de limo café</t>
  </si>
  <si>
    <t>CONSTRUCCIÓN DE UNA ESTRUCTURA HASTA 4 NIVELES  UBICADA EN LA DIRECCIÓN CL 50 # 53 - 22 ZONA URBANA DEL MUNICIPIO DE COPACABANA - 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</si>
</sst>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8"/>
      <color indexed="8"/>
      <name val="Calibri"/>
      <family val="2"/>
    </font>
    <font>
      <sz val="8"/>
      <color indexed="8"/>
      <name val="Arial"/>
      <family val="2"/>
    </font>
    <font>
      <sz val="10"/>
      <color indexed="8"/>
      <name val="Calibri"/>
      <family val="2"/>
    </font>
    <font>
      <sz val="10"/>
      <color indexed="8"/>
      <name val="Symbol"/>
      <family val="1"/>
      <charset val="2"/>
    </font>
    <font>
      <sz val="8"/>
      <color indexed="8"/>
      <name val="Symbol"/>
      <family val="1"/>
      <charset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theme="1"/>
      <name val="Calibri"/>
      <family val="2"/>
    </font>
    <font>
      <sz val="8"/>
      <color theme="1"/>
      <name val="Symbol"/>
      <family val="1"/>
      <charset val="2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theme="1"/>
      <name val="Symbol"/>
      <family val="1"/>
      <charset val="2"/>
    </font>
    <font>
      <b/>
      <vertAlign val="superscript"/>
      <sz val="11"/>
      <color theme="1"/>
      <name val="Calibri"/>
      <family val="2"/>
      <scheme val="minor"/>
    </font>
    <font>
      <sz val="7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8E4BC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8" fillId="0" borderId="1" xfId="0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0" fillId="0" borderId="1" xfId="0" applyBorder="1"/>
    <xf numFmtId="0" fontId="9" fillId="0" borderId="1" xfId="0" applyFont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0" fontId="0" fillId="0" borderId="0" xfId="0" applyBorder="1"/>
    <xf numFmtId="0" fontId="9" fillId="3" borderId="1" xfId="0" applyFont="1" applyFill="1" applyBorder="1" applyAlignment="1">
      <alignment horizontal="center"/>
    </xf>
    <xf numFmtId="0" fontId="0" fillId="4" borderId="0" xfId="0" applyFill="1" applyBorder="1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0" fontId="9" fillId="2" borderId="1" xfId="0" applyFont="1" applyFill="1" applyBorder="1" applyAlignment="1">
      <alignment horizontal="center"/>
    </xf>
    <xf numFmtId="0" fontId="12" fillId="4" borderId="0" xfId="0" applyFont="1" applyFill="1" applyBorder="1" applyAlignment="1">
      <alignment horizontal="center" vertical="center"/>
    </xf>
    <xf numFmtId="0" fontId="0" fillId="4" borderId="0" xfId="0" applyFont="1" applyFill="1" applyBorder="1" applyAlignment="1">
      <alignment horizontal="left"/>
    </xf>
    <xf numFmtId="0" fontId="13" fillId="4" borderId="0" xfId="0" applyFont="1" applyFill="1" applyBorder="1" applyAlignment="1"/>
    <xf numFmtId="0" fontId="0" fillId="4" borderId="0" xfId="0" applyFill="1"/>
    <xf numFmtId="0" fontId="14" fillId="7" borderId="1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0" borderId="0" xfId="0" applyFill="1" applyBorder="1"/>
    <xf numFmtId="165" fontId="8" fillId="0" borderId="1" xfId="0" applyNumberFormat="1" applyFont="1" applyBorder="1" applyAlignment="1">
      <alignment horizontal="center"/>
    </xf>
    <xf numFmtId="165" fontId="0" fillId="4" borderId="0" xfId="0" applyNumberFormat="1" applyFill="1"/>
    <xf numFmtId="2" fontId="8" fillId="4" borderId="3" xfId="0" applyNumberFormat="1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/>
    </xf>
    <xf numFmtId="2" fontId="8" fillId="0" borderId="8" xfId="0" applyNumberFormat="1" applyFont="1" applyBorder="1" applyAlignment="1">
      <alignment horizontal="center"/>
    </xf>
    <xf numFmtId="1" fontId="8" fillId="0" borderId="8" xfId="0" applyNumberFormat="1" applyFont="1" applyBorder="1" applyAlignment="1">
      <alignment horizontal="center"/>
    </xf>
    <xf numFmtId="164" fontId="8" fillId="0" borderId="8" xfId="0" applyNumberFormat="1" applyFont="1" applyBorder="1" applyAlignment="1">
      <alignment horizontal="center"/>
    </xf>
    <xf numFmtId="2" fontId="8" fillId="4" borderId="11" xfId="0" applyNumberFormat="1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/>
    </xf>
    <xf numFmtId="0" fontId="0" fillId="0" borderId="15" xfId="0" applyBorder="1"/>
    <xf numFmtId="0" fontId="8" fillId="0" borderId="9" xfId="0" applyFont="1" applyBorder="1" applyAlignment="1">
      <alignment horizontal="center"/>
    </xf>
    <xf numFmtId="1" fontId="8" fillId="0" borderId="9" xfId="0" applyNumberFormat="1" applyFont="1" applyBorder="1" applyAlignment="1">
      <alignment horizontal="center"/>
    </xf>
    <xf numFmtId="2" fontId="8" fillId="0" borderId="9" xfId="0" applyNumberFormat="1" applyFont="1" applyBorder="1" applyAlignment="1">
      <alignment horizontal="center"/>
    </xf>
    <xf numFmtId="164" fontId="8" fillId="0" borderId="9" xfId="0" applyNumberFormat="1" applyFont="1" applyBorder="1" applyAlignment="1">
      <alignment horizontal="center"/>
    </xf>
    <xf numFmtId="0" fontId="8" fillId="0" borderId="17" xfId="0" applyFont="1" applyBorder="1" applyAlignment="1">
      <alignment horizontal="center"/>
    </xf>
    <xf numFmtId="1" fontId="8" fillId="0" borderId="17" xfId="0" applyNumberFormat="1" applyFont="1" applyBorder="1" applyAlignment="1">
      <alignment horizontal="center"/>
    </xf>
    <xf numFmtId="2" fontId="8" fillId="0" borderId="17" xfId="0" applyNumberFormat="1" applyFont="1" applyBorder="1" applyAlignment="1">
      <alignment horizontal="center"/>
    </xf>
    <xf numFmtId="164" fontId="8" fillId="0" borderId="17" xfId="0" applyNumberFormat="1" applyFont="1" applyBorder="1" applyAlignment="1">
      <alignment horizontal="center"/>
    </xf>
    <xf numFmtId="164" fontId="8" fillId="0" borderId="18" xfId="0" applyNumberFormat="1" applyFont="1" applyBorder="1" applyAlignment="1">
      <alignment horizontal="center"/>
    </xf>
    <xf numFmtId="2" fontId="8" fillId="4" borderId="13" xfId="0" applyNumberFormat="1" applyFont="1" applyFill="1" applyBorder="1" applyAlignment="1">
      <alignment horizontal="center" vertical="center"/>
    </xf>
    <xf numFmtId="2" fontId="8" fillId="0" borderId="0" xfId="0" applyNumberFormat="1" applyFont="1" applyBorder="1" applyAlignment="1">
      <alignment horizontal="center" vertical="center"/>
    </xf>
    <xf numFmtId="165" fontId="8" fillId="0" borderId="8" xfId="0" applyNumberFormat="1" applyFont="1" applyBorder="1" applyAlignment="1">
      <alignment horizontal="center"/>
    </xf>
    <xf numFmtId="165" fontId="8" fillId="0" borderId="17" xfId="0" applyNumberFormat="1" applyFont="1" applyBorder="1" applyAlignment="1">
      <alignment horizontal="center"/>
    </xf>
    <xf numFmtId="0" fontId="8" fillId="0" borderId="0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/>
    </xf>
    <xf numFmtId="0" fontId="9" fillId="6" borderId="13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9" fillId="6" borderId="7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9" fillId="3" borderId="3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2" fontId="8" fillId="0" borderId="4" xfId="0" applyNumberFormat="1" applyFont="1" applyBorder="1" applyAlignment="1">
      <alignment horizontal="center" vertical="center"/>
    </xf>
    <xf numFmtId="0" fontId="7" fillId="5" borderId="11" xfId="0" applyFont="1" applyFill="1" applyBorder="1" applyAlignment="1">
      <alignment horizontal="center"/>
    </xf>
    <xf numFmtId="0" fontId="7" fillId="5" borderId="12" xfId="0" applyFont="1" applyFill="1" applyBorder="1" applyAlignment="1">
      <alignment horizontal="center"/>
    </xf>
    <xf numFmtId="0" fontId="7" fillId="5" borderId="13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0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7" borderId="1" xfId="0" applyFont="1" applyFill="1" applyBorder="1"/>
    <xf numFmtId="0" fontId="0" fillId="4" borderId="3" xfId="0" applyFont="1" applyFill="1" applyBorder="1" applyAlignment="1">
      <alignment horizontal="left"/>
    </xf>
    <xf numFmtId="0" fontId="0" fillId="4" borderId="10" xfId="0" applyFont="1" applyFill="1" applyBorder="1" applyAlignment="1">
      <alignment horizontal="left"/>
    </xf>
    <xf numFmtId="0" fontId="0" fillId="4" borderId="4" xfId="0" applyFont="1" applyFill="1" applyBorder="1" applyAlignment="1">
      <alignment horizontal="left"/>
    </xf>
    <xf numFmtId="0" fontId="14" fillId="7" borderId="8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164" fontId="0" fillId="9" borderId="8" xfId="0" applyNumberFormat="1" applyFill="1" applyBorder="1" applyAlignment="1">
      <alignment horizontal="center" vertical="center"/>
    </xf>
    <xf numFmtId="164" fontId="0" fillId="9" borderId="14" xfId="0" applyNumberFormat="1" applyFill="1" applyBorder="1" applyAlignment="1">
      <alignment horizontal="center" vertical="center"/>
    </xf>
    <xf numFmtId="164" fontId="0" fillId="9" borderId="9" xfId="0" applyNumberFormat="1" applyFill="1" applyBorder="1" applyAlignment="1">
      <alignment horizontal="center" vertical="center"/>
    </xf>
    <xf numFmtId="165" fontId="0" fillId="9" borderId="8" xfId="0" applyNumberFormat="1" applyFill="1" applyBorder="1" applyAlignment="1">
      <alignment horizontal="center" vertical="center"/>
    </xf>
    <xf numFmtId="165" fontId="0" fillId="9" borderId="14" xfId="0" applyNumberFormat="1" applyFill="1" applyBorder="1" applyAlignment="1">
      <alignment horizontal="center" vertical="center"/>
    </xf>
    <xf numFmtId="165" fontId="0" fillId="9" borderId="9" xfId="0" applyNumberFormat="1" applyFill="1" applyBorder="1" applyAlignment="1">
      <alignment horizontal="center" vertical="center"/>
    </xf>
    <xf numFmtId="2" fontId="0" fillId="8" borderId="8" xfId="0" applyNumberFormat="1" applyFill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2" fontId="0" fillId="8" borderId="9" xfId="0" applyNumberFormat="1" applyFill="1" applyBorder="1" applyAlignment="1">
      <alignment horizontal="center" vertical="center"/>
    </xf>
    <xf numFmtId="164" fontId="0" fillId="8" borderId="8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64" fontId="0" fillId="8" borderId="9" xfId="0" applyNumberFormat="1" applyFill="1" applyBorder="1" applyAlignment="1">
      <alignment horizontal="center" vertical="center"/>
    </xf>
    <xf numFmtId="164" fontId="0" fillId="8" borderId="8" xfId="0" applyNumberFormat="1" applyFill="1" applyBorder="1" applyAlignment="1">
      <alignment horizontal="center" vertical="center" wrapText="1"/>
    </xf>
    <xf numFmtId="164" fontId="0" fillId="8" borderId="14" xfId="0" applyNumberFormat="1" applyFill="1" applyBorder="1" applyAlignment="1">
      <alignment horizontal="center" vertical="center" wrapText="1"/>
    </xf>
    <xf numFmtId="164" fontId="0" fillId="8" borderId="9" xfId="0" applyNumberForma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left"/>
    </xf>
    <xf numFmtId="0" fontId="0" fillId="4" borderId="3" xfId="0" applyFont="1" applyFill="1" applyBorder="1" applyAlignment="1"/>
    <xf numFmtId="0" fontId="0" fillId="4" borderId="10" xfId="0" applyFont="1" applyFill="1" applyBorder="1" applyAlignment="1"/>
    <xf numFmtId="0" fontId="0" fillId="4" borderId="4" xfId="0" applyFont="1" applyFill="1" applyBorder="1" applyAlignment="1"/>
    <xf numFmtId="165" fontId="0" fillId="8" borderId="8" xfId="0" applyNumberFormat="1" applyFill="1" applyBorder="1" applyAlignment="1">
      <alignment horizontal="center" vertical="center"/>
    </xf>
    <xf numFmtId="165" fontId="0" fillId="8" borderId="14" xfId="0" applyNumberFormat="1" applyFill="1" applyBorder="1" applyAlignment="1">
      <alignment horizontal="center" vertical="center"/>
    </xf>
    <xf numFmtId="165" fontId="0" fillId="8" borderId="9" xfId="0" applyNumberFormat="1" applyFill="1" applyBorder="1" applyAlignment="1">
      <alignment horizontal="center" vertical="center"/>
    </xf>
    <xf numFmtId="2" fontId="0" fillId="9" borderId="8" xfId="0" applyNumberFormat="1" applyFill="1" applyBorder="1" applyAlignment="1">
      <alignment horizontal="center" vertical="center"/>
    </xf>
    <xf numFmtId="2" fontId="0" fillId="9" borderId="14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64" fontId="0" fillId="9" borderId="8" xfId="0" applyNumberFormat="1" applyFill="1" applyBorder="1" applyAlignment="1">
      <alignment horizontal="center" vertical="center" wrapText="1"/>
    </xf>
    <xf numFmtId="164" fontId="0" fillId="9" borderId="14" xfId="0" applyNumberFormat="1" applyFill="1" applyBorder="1" applyAlignment="1">
      <alignment horizontal="center" vertical="center" wrapText="1"/>
    </xf>
    <xf numFmtId="164" fontId="0" fillId="9" borderId="9" xfId="0" applyNumberForma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17" fontId="9" fillId="10" borderId="1" xfId="0" applyNumberFormat="1" applyFont="1" applyFill="1" applyBorder="1" applyAlignment="1">
      <alignment horizontal="left"/>
    </xf>
    <xf numFmtId="0" fontId="9" fillId="10" borderId="1" xfId="0" applyFont="1" applyFill="1" applyBorder="1" applyAlignment="1">
      <alignment horizontal="left"/>
    </xf>
    <xf numFmtId="0" fontId="8" fillId="10" borderId="8" xfId="0" applyFont="1" applyFill="1" applyBorder="1" applyAlignment="1">
      <alignment horizontal="center"/>
    </xf>
    <xf numFmtId="0" fontId="8" fillId="10" borderId="1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/>
    </xf>
    <xf numFmtId="0" fontId="8" fillId="10" borderId="16" xfId="0" applyFont="1" applyFill="1" applyBorder="1" applyAlignment="1">
      <alignment horizontal="center"/>
    </xf>
    <xf numFmtId="0" fontId="9" fillId="10" borderId="4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E7D045"/>
      <color rgb="FF9ABC9C"/>
      <color rgb="FF63A172"/>
      <color rgb="FFE6B846"/>
      <color rgb="FFA29962"/>
      <color rgb="FFB98A4B"/>
      <color rgb="FF85A79C"/>
      <color rgb="FFD3A32B"/>
      <color rgb="FFDB9E23"/>
      <color rgb="FF78B4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630114</xdr:colOff>
      <xdr:row>0</xdr:row>
      <xdr:rowOff>0</xdr:rowOff>
    </xdr:from>
    <xdr:to>
      <xdr:col>26</xdr:col>
      <xdr:colOff>258639</xdr:colOff>
      <xdr:row>31</xdr:row>
      <xdr:rowOff>2452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F956C3D-10CE-41C0-989A-A7FD31441F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44268" y="0"/>
          <a:ext cx="5724525" cy="58705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S32"/>
  <sheetViews>
    <sheetView tabSelected="1" zoomScale="115" zoomScaleNormal="115" workbookViewId="0">
      <selection activeCell="Q10" sqref="Q10:Q25"/>
    </sheetView>
  </sheetViews>
  <sheetFormatPr baseColWidth="10" defaultRowHeight="15" x14ac:dyDescent="0.25"/>
  <cols>
    <col min="1" max="1" width="4.5703125" customWidth="1"/>
    <col min="2" max="2" width="9.5703125" customWidth="1"/>
    <col min="3" max="3" width="6.85546875" customWidth="1"/>
    <col min="4" max="4" width="6.28515625" customWidth="1"/>
    <col min="5" max="5" width="7.42578125" customWidth="1"/>
    <col min="6" max="6" width="7.5703125" customWidth="1"/>
    <col min="7" max="7" width="10.5703125" customWidth="1"/>
    <col min="8" max="8" width="5.7109375" customWidth="1"/>
    <col min="9" max="9" width="9.42578125" customWidth="1"/>
    <col min="10" max="10" width="6.140625" customWidth="1"/>
    <col min="11" max="11" width="5.5703125" customWidth="1"/>
    <col min="12" max="12" width="6" customWidth="1"/>
    <col min="13" max="13" width="6.7109375" customWidth="1"/>
    <col min="14" max="14" width="7.7109375" bestFit="1" customWidth="1"/>
    <col min="15" max="15" width="8.42578125" hidden="1" customWidth="1"/>
    <col min="16" max="16" width="8.140625" customWidth="1"/>
    <col min="17" max="17" width="13.85546875" customWidth="1"/>
    <col min="18" max="18" width="2.5703125" customWidth="1"/>
  </cols>
  <sheetData>
    <row r="2" spans="1:19" x14ac:dyDescent="0.25">
      <c r="A2" s="65" t="s">
        <v>4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7"/>
    </row>
    <row r="3" spans="1:19" x14ac:dyDescent="0.25">
      <c r="A3" s="68" t="s">
        <v>5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</row>
    <row r="4" spans="1:19" ht="9.75" customHeight="1" x14ac:dyDescent="0.25">
      <c r="A4" s="69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1"/>
    </row>
    <row r="5" spans="1:19" x14ac:dyDescent="0.25">
      <c r="A5" s="59" t="s">
        <v>6</v>
      </c>
      <c r="B5" s="59"/>
      <c r="C5" s="52" t="s">
        <v>70</v>
      </c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</row>
    <row r="6" spans="1:19" ht="24" customHeight="1" x14ac:dyDescent="0.25">
      <c r="A6" s="59" t="s">
        <v>7</v>
      </c>
      <c r="B6" s="59"/>
      <c r="C6" s="107" t="s">
        <v>77</v>
      </c>
      <c r="D6" s="107"/>
      <c r="E6" s="107"/>
      <c r="F6" s="107"/>
      <c r="G6" s="107"/>
      <c r="H6" s="107"/>
      <c r="I6" s="107"/>
      <c r="J6" s="107"/>
      <c r="K6" s="107"/>
      <c r="L6" s="107"/>
      <c r="M6" s="107"/>
      <c r="N6" s="107"/>
      <c r="O6" s="107"/>
      <c r="P6" s="107"/>
      <c r="Q6" s="107"/>
    </row>
    <row r="7" spans="1:19" ht="15" customHeight="1" x14ac:dyDescent="0.25">
      <c r="A7" s="63" t="s">
        <v>8</v>
      </c>
      <c r="B7" s="63"/>
      <c r="C7" s="108">
        <v>46106</v>
      </c>
      <c r="D7" s="109"/>
      <c r="E7" s="109"/>
      <c r="F7" s="53" t="s">
        <v>22</v>
      </c>
      <c r="G7" s="53"/>
      <c r="H7" s="12">
        <v>63.5</v>
      </c>
      <c r="I7" s="17" t="s">
        <v>11</v>
      </c>
      <c r="J7" s="54" t="s">
        <v>16</v>
      </c>
      <c r="K7" s="54"/>
      <c r="L7" s="55" t="s">
        <v>13</v>
      </c>
      <c r="M7" s="56"/>
      <c r="N7" s="60" t="s">
        <v>18</v>
      </c>
      <c r="O7" s="61"/>
      <c r="P7" s="61"/>
      <c r="Q7" s="62"/>
    </row>
    <row r="8" spans="1:19" ht="15" customHeight="1" x14ac:dyDescent="0.25">
      <c r="A8" s="63" t="s">
        <v>14</v>
      </c>
      <c r="B8" s="63"/>
      <c r="C8" s="52" t="s">
        <v>21</v>
      </c>
      <c r="D8" s="52"/>
      <c r="E8" s="4"/>
      <c r="F8" s="53" t="s">
        <v>23</v>
      </c>
      <c r="G8" s="53"/>
      <c r="H8" s="12">
        <v>0.76</v>
      </c>
      <c r="I8" s="5" t="s">
        <v>64</v>
      </c>
      <c r="J8" s="54"/>
      <c r="K8" s="54"/>
      <c r="L8" s="57"/>
      <c r="M8" s="58"/>
      <c r="N8" s="60" t="s">
        <v>20</v>
      </c>
      <c r="O8" s="61"/>
      <c r="P8" s="61"/>
      <c r="Q8" s="62"/>
    </row>
    <row r="9" spans="1:19" x14ac:dyDescent="0.25">
      <c r="A9" s="6" t="s">
        <v>0</v>
      </c>
      <c r="B9" s="9" t="s">
        <v>39</v>
      </c>
      <c r="C9" s="9" t="s">
        <v>40</v>
      </c>
      <c r="D9" s="8" t="s">
        <v>41</v>
      </c>
      <c r="E9" s="9" t="s">
        <v>42</v>
      </c>
      <c r="F9" s="6" t="s">
        <v>1</v>
      </c>
      <c r="G9" s="6" t="s">
        <v>2</v>
      </c>
      <c r="H9" s="6" t="s">
        <v>10</v>
      </c>
      <c r="I9" s="6" t="s">
        <v>12</v>
      </c>
      <c r="J9" s="6" t="s">
        <v>19</v>
      </c>
      <c r="K9" s="6" t="s">
        <v>9</v>
      </c>
      <c r="L9" s="9" t="s">
        <v>17</v>
      </c>
      <c r="M9" s="9" t="s">
        <v>43</v>
      </c>
      <c r="N9" s="9" t="s">
        <v>26</v>
      </c>
      <c r="O9" s="7" t="s">
        <v>44</v>
      </c>
      <c r="P9" s="9" t="s">
        <v>15</v>
      </c>
      <c r="Q9" s="9" t="s">
        <v>3</v>
      </c>
    </row>
    <row r="10" spans="1:19" ht="15" customHeight="1" x14ac:dyDescent="0.25">
      <c r="A10" s="110">
        <v>0.45</v>
      </c>
      <c r="B10" s="32">
        <v>15</v>
      </c>
      <c r="C10" s="31">
        <f>B10*A10</f>
        <v>6.75</v>
      </c>
      <c r="D10" s="31">
        <f t="shared" ref="D10:D16" si="0">IF(A10&lt;=$I$8,(0),10*(A10-$I$8))</f>
        <v>0</v>
      </c>
      <c r="E10" s="31">
        <f t="shared" ref="E10:E16" si="1">C10-D10</f>
        <v>6.75</v>
      </c>
      <c r="F10" s="114">
        <v>15</v>
      </c>
      <c r="G10" s="33">
        <f>F10*J10</f>
        <v>28.497339389606189</v>
      </c>
      <c r="H10" s="31">
        <f t="shared" ref="H10:H16" si="2">E10/100</f>
        <v>6.7500000000000004E-2</v>
      </c>
      <c r="I10" s="31">
        <f>IF(H10&lt;1,(1.41),(0.92))</f>
        <v>1.41</v>
      </c>
      <c r="J10" s="32">
        <f>LOG10(20/H10)/LOG10(20)</f>
        <v>1.8998226259737461</v>
      </c>
      <c r="K10" s="33">
        <f t="shared" ref="K10:K15" si="3">G10*(42/45)</f>
        <v>26.597516763632445</v>
      </c>
      <c r="L10" s="33">
        <f t="shared" ref="L10:L16" si="4">(15+(POWER((12.5*K10),0.5)))</f>
        <v>33.233731366492307</v>
      </c>
      <c r="M10" s="34">
        <f t="shared" ref="M10:M16" si="5">E10*TAN(L10*PI()/180)</f>
        <v>4.4227539781267433</v>
      </c>
      <c r="N10" s="34">
        <f t="shared" ref="N10" si="6">0.3*(K10*45/55+6)</f>
        <v>8.3284813874370531</v>
      </c>
      <c r="O10" s="47">
        <v>5</v>
      </c>
      <c r="P10" s="35">
        <f>L10</f>
        <v>33.233731366492307</v>
      </c>
      <c r="Q10" s="116" t="s">
        <v>76</v>
      </c>
    </row>
    <row r="11" spans="1:19" ht="15" customHeight="1" x14ac:dyDescent="0.25">
      <c r="A11" s="110">
        <v>1.45</v>
      </c>
      <c r="B11" s="32">
        <v>17</v>
      </c>
      <c r="C11" s="31">
        <f>B11*A11</f>
        <v>24.65</v>
      </c>
      <c r="D11" s="31">
        <f t="shared" si="0"/>
        <v>0</v>
      </c>
      <c r="E11" s="31">
        <f t="shared" si="1"/>
        <v>24.65</v>
      </c>
      <c r="F11" s="114">
        <v>20</v>
      </c>
      <c r="G11" s="33">
        <f t="shared" ref="G11:G16" si="7">F11*J11</f>
        <v>29.349255257967584</v>
      </c>
      <c r="H11" s="31">
        <f t="shared" si="2"/>
        <v>0.2465</v>
      </c>
      <c r="I11" s="31">
        <f t="shared" ref="I11:I16" si="8">IF(H11&lt;1,(1.41),(0.92))</f>
        <v>1.41</v>
      </c>
      <c r="J11" s="32">
        <f t="shared" ref="J11:J15" si="9">LOG10(20/H11)/LOG10(20)</f>
        <v>1.4674627628983792</v>
      </c>
      <c r="K11" s="33">
        <f t="shared" si="3"/>
        <v>27.392638240769745</v>
      </c>
      <c r="L11" s="33">
        <f t="shared" si="4"/>
        <v>33.504269183343119</v>
      </c>
      <c r="M11" s="34">
        <f t="shared" si="5"/>
        <v>16.318120563539114</v>
      </c>
      <c r="N11" s="34">
        <f>0.32*(K11*45/55+15)</f>
        <v>11.971890739401534</v>
      </c>
      <c r="O11" s="64">
        <v>5</v>
      </c>
      <c r="P11" s="30">
        <f t="shared" ref="P11:P25" si="10">L11</f>
        <v>33.504269183343119</v>
      </c>
      <c r="Q11" s="116"/>
    </row>
    <row r="12" spans="1:19" ht="14.45" customHeight="1" x14ac:dyDescent="0.25">
      <c r="A12" s="111">
        <v>2.4500000000000002</v>
      </c>
      <c r="B12" s="3">
        <v>17</v>
      </c>
      <c r="C12" s="1">
        <f t="shared" ref="C12:C16" si="11">(A12-A11)*B12+C11</f>
        <v>41.650000000000006</v>
      </c>
      <c r="D12" s="1">
        <f t="shared" si="0"/>
        <v>0</v>
      </c>
      <c r="E12" s="1">
        <f t="shared" si="1"/>
        <v>41.650000000000006</v>
      </c>
      <c r="F12" s="114">
        <v>22</v>
      </c>
      <c r="G12" s="2">
        <f t="shared" si="7"/>
        <v>28.432188267409931</v>
      </c>
      <c r="H12" s="1">
        <f t="shared" si="2"/>
        <v>0.41650000000000004</v>
      </c>
      <c r="I12" s="1">
        <f t="shared" si="8"/>
        <v>1.41</v>
      </c>
      <c r="J12" s="3">
        <f t="shared" si="9"/>
        <v>1.2923721939731787</v>
      </c>
      <c r="K12" s="2">
        <f t="shared" si="3"/>
        <v>26.536709049582601</v>
      </c>
      <c r="L12" s="2">
        <f t="shared" si="4"/>
        <v>33.212876300018692</v>
      </c>
      <c r="M12" s="10">
        <f t="shared" si="5"/>
        <v>27.268366586017525</v>
      </c>
      <c r="N12" s="10">
        <f t="shared" ref="N12:N16" si="12">0.32*(K12*45/55+15)</f>
        <v>11.74779291479981</v>
      </c>
      <c r="O12" s="64"/>
      <c r="P12" s="30">
        <f t="shared" si="10"/>
        <v>33.212876300018692</v>
      </c>
      <c r="Q12" s="116"/>
    </row>
    <row r="13" spans="1:19" ht="15" customHeight="1" x14ac:dyDescent="0.25">
      <c r="A13" s="112">
        <v>3.45</v>
      </c>
      <c r="B13" s="40">
        <v>17</v>
      </c>
      <c r="C13" s="38">
        <f t="shared" si="11"/>
        <v>58.650000000000006</v>
      </c>
      <c r="D13" s="38">
        <f t="shared" si="0"/>
        <v>0</v>
      </c>
      <c r="E13" s="38">
        <f t="shared" si="1"/>
        <v>58.650000000000006</v>
      </c>
      <c r="F13" s="114">
        <v>29</v>
      </c>
      <c r="G13" s="39">
        <f t="shared" si="7"/>
        <v>34.16531328662829</v>
      </c>
      <c r="H13" s="38">
        <f t="shared" si="2"/>
        <v>0.58650000000000002</v>
      </c>
      <c r="I13" s="38">
        <f t="shared" si="8"/>
        <v>1.41</v>
      </c>
      <c r="J13" s="40">
        <f t="shared" si="9"/>
        <v>1.1781142512630445</v>
      </c>
      <c r="K13" s="39">
        <f t="shared" si="3"/>
        <v>31.887625734186404</v>
      </c>
      <c r="L13" s="39">
        <f t="shared" si="4"/>
        <v>34.964852157662726</v>
      </c>
      <c r="M13" s="41">
        <f t="shared" si="5"/>
        <v>41.013576586883126</v>
      </c>
      <c r="N13" s="41">
        <f t="shared" si="12"/>
        <v>13.148760192223349</v>
      </c>
      <c r="O13" s="64"/>
      <c r="P13" s="30">
        <f>L13</f>
        <v>34.964852157662726</v>
      </c>
      <c r="Q13" s="116" t="s">
        <v>75</v>
      </c>
    </row>
    <row r="14" spans="1:19" ht="15" customHeight="1" x14ac:dyDescent="0.25">
      <c r="A14" s="111">
        <v>4.45</v>
      </c>
      <c r="B14" s="3">
        <v>17</v>
      </c>
      <c r="C14" s="1">
        <f t="shared" si="11"/>
        <v>75.650000000000006</v>
      </c>
      <c r="D14" s="1">
        <f t="shared" si="0"/>
        <v>0</v>
      </c>
      <c r="E14" s="1">
        <f t="shared" si="1"/>
        <v>75.650000000000006</v>
      </c>
      <c r="F14" s="114">
        <v>35</v>
      </c>
      <c r="G14" s="2">
        <f t="shared" si="7"/>
        <v>38.260253323570034</v>
      </c>
      <c r="H14" s="1">
        <f t="shared" si="2"/>
        <v>0.75650000000000006</v>
      </c>
      <c r="I14" s="1">
        <f t="shared" si="8"/>
        <v>1.41</v>
      </c>
      <c r="J14" s="3">
        <f t="shared" si="9"/>
        <v>1.0931500949591437</v>
      </c>
      <c r="K14" s="2">
        <f t="shared" si="3"/>
        <v>35.709569768665368</v>
      </c>
      <c r="L14" s="2">
        <f t="shared" si="4"/>
        <v>36.127461326631675</v>
      </c>
      <c r="M14" s="10">
        <f t="shared" si="5"/>
        <v>55.220486976517044</v>
      </c>
      <c r="N14" s="10">
        <f t="shared" si="12"/>
        <v>14.149414630341481</v>
      </c>
      <c r="O14" s="64"/>
      <c r="P14" s="30">
        <f t="shared" si="10"/>
        <v>36.127461326631675</v>
      </c>
      <c r="Q14" s="116"/>
      <c r="S14">
        <v>0.217</v>
      </c>
    </row>
    <row r="15" spans="1:19" ht="14.45" customHeight="1" thickBot="1" x14ac:dyDescent="0.3">
      <c r="A15" s="110">
        <v>5.45</v>
      </c>
      <c r="B15" s="32">
        <v>17</v>
      </c>
      <c r="C15" s="31">
        <f t="shared" si="11"/>
        <v>92.65</v>
      </c>
      <c r="D15" s="31">
        <f t="shared" si="0"/>
        <v>0</v>
      </c>
      <c r="E15" s="31">
        <f t="shared" si="1"/>
        <v>92.65</v>
      </c>
      <c r="F15" s="114">
        <v>38</v>
      </c>
      <c r="G15" s="33">
        <f t="shared" si="7"/>
        <v>38.968366529066998</v>
      </c>
      <c r="H15" s="49">
        <f t="shared" si="2"/>
        <v>0.9265000000000001</v>
      </c>
      <c r="I15" s="31">
        <f t="shared" si="8"/>
        <v>1.41</v>
      </c>
      <c r="J15" s="32">
        <f t="shared" si="9"/>
        <v>1.0254833297122894</v>
      </c>
      <c r="K15" s="33">
        <f t="shared" si="3"/>
        <v>36.3704754271292</v>
      </c>
      <c r="L15" s="33">
        <f t="shared" si="4"/>
        <v>36.32207641950275</v>
      </c>
      <c r="M15" s="34">
        <f t="shared" si="5"/>
        <v>68.113168132929644</v>
      </c>
      <c r="N15" s="34">
        <f t="shared" si="12"/>
        <v>14.322451748193826</v>
      </c>
      <c r="O15" s="64"/>
      <c r="P15" s="30">
        <f t="shared" si="10"/>
        <v>36.32207641950275</v>
      </c>
      <c r="Q15" s="116"/>
    </row>
    <row r="16" spans="1:19" ht="15.75" thickBot="1" x14ac:dyDescent="0.3">
      <c r="A16" s="113">
        <v>6.45</v>
      </c>
      <c r="B16" s="44">
        <v>17</v>
      </c>
      <c r="C16" s="42">
        <f t="shared" si="11"/>
        <v>109.65</v>
      </c>
      <c r="D16" s="42">
        <f t="shared" si="0"/>
        <v>0</v>
      </c>
      <c r="E16" s="42">
        <f t="shared" si="1"/>
        <v>109.65</v>
      </c>
      <c r="F16" s="114">
        <v>42</v>
      </c>
      <c r="G16" s="43">
        <f t="shared" si="7"/>
        <v>40.708436609325695</v>
      </c>
      <c r="H16" s="50">
        <f t="shared" si="2"/>
        <v>1.0965</v>
      </c>
      <c r="I16" s="42">
        <f t="shared" si="8"/>
        <v>0.92</v>
      </c>
      <c r="J16" s="44">
        <f>LOG10(20/H16)/LOG10(20)</f>
        <v>0.96924849069823082</v>
      </c>
      <c r="K16" s="43">
        <f>G16*(42/45)</f>
        <v>37.99454083537065</v>
      </c>
      <c r="L16" s="43">
        <f t="shared" si="4"/>
        <v>36.792929138648006</v>
      </c>
      <c r="M16" s="45">
        <f t="shared" si="5"/>
        <v>82.007577212528275</v>
      </c>
      <c r="N16" s="46">
        <f t="shared" si="12"/>
        <v>14.747661600533407</v>
      </c>
      <c r="O16" s="64"/>
      <c r="P16" s="30">
        <f t="shared" si="10"/>
        <v>36.792929138648006</v>
      </c>
      <c r="Q16" s="116"/>
    </row>
    <row r="17" spans="1:17" x14ac:dyDescent="0.25">
      <c r="A17" s="112">
        <v>7.45</v>
      </c>
      <c r="B17" s="40">
        <v>18</v>
      </c>
      <c r="C17" s="38">
        <f t="shared" ref="C17:C25" si="13">(A17-A16)*B17+C16</f>
        <v>127.65</v>
      </c>
      <c r="D17" s="38">
        <f t="shared" ref="D17:D25" si="14">IF(A17&lt;=$I$8,(0),10*(A17-$I$8))</f>
        <v>0</v>
      </c>
      <c r="E17" s="38">
        <f t="shared" ref="E17:E25" si="15">C17-D17</f>
        <v>127.65</v>
      </c>
      <c r="F17" s="114">
        <v>45</v>
      </c>
      <c r="G17" s="39">
        <f t="shared" ref="G17:G25" si="16">F17*J17</f>
        <v>41.332953984756315</v>
      </c>
      <c r="H17" s="38">
        <f t="shared" ref="H17:H25" si="17">E17/100</f>
        <v>1.2765</v>
      </c>
      <c r="I17" s="38">
        <f t="shared" ref="I17:I25" si="18">IF(H17&lt;1,(1.41),(0.92))</f>
        <v>0.92</v>
      </c>
      <c r="J17" s="40">
        <f t="shared" ref="J17:J25" si="19">LOG10(20/H17)/LOG10(20)</f>
        <v>0.91851008855014027</v>
      </c>
      <c r="K17" s="39">
        <f t="shared" ref="K17:K25" si="20">G17*(42/45)</f>
        <v>38.577423719105894</v>
      </c>
      <c r="L17" s="39">
        <f t="shared" ref="L17:L25" si="21">(15+(POWER((12.5*K17),0.5)))</f>
        <v>36.959458019013667</v>
      </c>
      <c r="M17" s="41">
        <f t="shared" ref="M17:M25" si="22">E17*TAN(L17*PI()/180)</f>
        <v>96.049636029687136</v>
      </c>
      <c r="N17" s="41">
        <f t="shared" ref="N17:N25" si="23">0.32*(K17*45/55+15)</f>
        <v>14.900270937365908</v>
      </c>
      <c r="O17" s="48"/>
      <c r="P17" s="30">
        <f t="shared" si="10"/>
        <v>36.959458019013667</v>
      </c>
      <c r="Q17" s="116"/>
    </row>
    <row r="18" spans="1:17" x14ac:dyDescent="0.25">
      <c r="A18" s="111">
        <v>8.4499999999999993</v>
      </c>
      <c r="B18" s="3">
        <v>18</v>
      </c>
      <c r="C18" s="1">
        <f t="shared" si="13"/>
        <v>145.64999999999998</v>
      </c>
      <c r="D18" s="1">
        <f t="shared" si="14"/>
        <v>0</v>
      </c>
      <c r="E18" s="1">
        <f t="shared" si="15"/>
        <v>145.64999999999998</v>
      </c>
      <c r="F18" s="114">
        <v>48</v>
      </c>
      <c r="G18" s="2">
        <f t="shared" si="16"/>
        <v>41.974848007822956</v>
      </c>
      <c r="H18" s="28">
        <f t="shared" si="17"/>
        <v>1.4564999999999997</v>
      </c>
      <c r="I18" s="1">
        <f t="shared" si="18"/>
        <v>0.92</v>
      </c>
      <c r="J18" s="3">
        <f t="shared" si="19"/>
        <v>0.87447600016297822</v>
      </c>
      <c r="K18" s="2">
        <f t="shared" si="20"/>
        <v>39.176524807301426</v>
      </c>
      <c r="L18" s="2">
        <f t="shared" si="21"/>
        <v>37.129314496641506</v>
      </c>
      <c r="M18" s="10">
        <f t="shared" si="22"/>
        <v>110.2714185139628</v>
      </c>
      <c r="N18" s="10">
        <f t="shared" si="23"/>
        <v>15.057126495002557</v>
      </c>
      <c r="O18" s="48"/>
      <c r="P18" s="30">
        <f t="shared" si="10"/>
        <v>37.129314496641506</v>
      </c>
      <c r="Q18" s="116"/>
    </row>
    <row r="19" spans="1:17" x14ac:dyDescent="0.25">
      <c r="A19" s="111">
        <v>9.4499999999999993</v>
      </c>
      <c r="B19" s="3">
        <v>18</v>
      </c>
      <c r="C19" s="1">
        <f t="shared" si="13"/>
        <v>163.64999999999998</v>
      </c>
      <c r="D19" s="1">
        <f t="shared" si="14"/>
        <v>0</v>
      </c>
      <c r="E19" s="1">
        <f t="shared" si="15"/>
        <v>163.64999999999998</v>
      </c>
      <c r="F19" s="114">
        <v>51</v>
      </c>
      <c r="G19" s="2">
        <f t="shared" si="16"/>
        <v>42.614554216117511</v>
      </c>
      <c r="H19" s="28">
        <f t="shared" si="17"/>
        <v>1.6364999999999998</v>
      </c>
      <c r="I19" s="1">
        <f t="shared" si="18"/>
        <v>0.92</v>
      </c>
      <c r="J19" s="3">
        <f t="shared" si="19"/>
        <v>0.83557949443367674</v>
      </c>
      <c r="K19" s="2">
        <f t="shared" si="20"/>
        <v>39.773583935043014</v>
      </c>
      <c r="L19" s="2">
        <f t="shared" si="21"/>
        <v>37.297304751651886</v>
      </c>
      <c r="M19" s="10">
        <f t="shared" si="22"/>
        <v>124.65572626080687</v>
      </c>
      <c r="N19" s="10">
        <f t="shared" si="23"/>
        <v>15.213447430265807</v>
      </c>
      <c r="O19" s="48"/>
      <c r="P19" s="30">
        <f t="shared" si="10"/>
        <v>37.297304751651886</v>
      </c>
      <c r="Q19" s="116"/>
    </row>
    <row r="20" spans="1:17" x14ac:dyDescent="0.25">
      <c r="A20" s="111">
        <v>10.45</v>
      </c>
      <c r="B20" s="3">
        <v>18</v>
      </c>
      <c r="C20" s="1">
        <f t="shared" si="13"/>
        <v>181.64999999999998</v>
      </c>
      <c r="D20" s="1">
        <f t="shared" si="14"/>
        <v>0</v>
      </c>
      <c r="E20" s="1">
        <f t="shared" si="15"/>
        <v>181.64999999999998</v>
      </c>
      <c r="F20" s="115">
        <v>54</v>
      </c>
      <c r="G20" s="2">
        <f t="shared" si="16"/>
        <v>43.240285185287092</v>
      </c>
      <c r="H20" s="1">
        <f t="shared" si="17"/>
        <v>1.8164999999999998</v>
      </c>
      <c r="I20" s="1">
        <f t="shared" si="18"/>
        <v>0.92</v>
      </c>
      <c r="J20" s="3">
        <f t="shared" si="19"/>
        <v>0.80074602194976097</v>
      </c>
      <c r="K20" s="2">
        <f t="shared" si="20"/>
        <v>40.357599506267952</v>
      </c>
      <c r="L20" s="2">
        <f t="shared" si="21"/>
        <v>37.460409475972369</v>
      </c>
      <c r="M20" s="10">
        <f t="shared" si="22"/>
        <v>139.18563209605631</v>
      </c>
      <c r="N20" s="10">
        <f t="shared" si="23"/>
        <v>15.366353325277428</v>
      </c>
      <c r="O20" s="48"/>
      <c r="P20" s="30">
        <f t="shared" si="10"/>
        <v>37.460409475972369</v>
      </c>
      <c r="Q20" s="116"/>
    </row>
    <row r="21" spans="1:17" x14ac:dyDescent="0.25">
      <c r="A21" s="111">
        <v>11.45</v>
      </c>
      <c r="B21" s="3">
        <v>18</v>
      </c>
      <c r="C21" s="1">
        <f t="shared" si="13"/>
        <v>199.64999999999998</v>
      </c>
      <c r="D21" s="1">
        <f t="shared" si="14"/>
        <v>0</v>
      </c>
      <c r="E21" s="1">
        <f t="shared" si="15"/>
        <v>199.64999999999998</v>
      </c>
      <c r="F21" s="115">
        <v>57</v>
      </c>
      <c r="G21" s="2">
        <f t="shared" si="16"/>
        <v>43.844768387145848</v>
      </c>
      <c r="H21" s="28">
        <f t="shared" si="17"/>
        <v>1.9964999999999997</v>
      </c>
      <c r="I21" s="1">
        <f t="shared" si="18"/>
        <v>0.92</v>
      </c>
      <c r="J21" s="3">
        <f t="shared" si="19"/>
        <v>0.76920646293238326</v>
      </c>
      <c r="K21" s="2">
        <f t="shared" si="20"/>
        <v>40.921783828002795</v>
      </c>
      <c r="L21" s="2">
        <f t="shared" si="21"/>
        <v>37.616858708716265</v>
      </c>
      <c r="M21" s="10">
        <f t="shared" si="22"/>
        <v>153.84480370260709</v>
      </c>
      <c r="N21" s="10">
        <f t="shared" si="23"/>
        <v>15.514067038604368</v>
      </c>
      <c r="O21" s="48"/>
      <c r="P21" s="30">
        <f t="shared" si="10"/>
        <v>37.616858708716265</v>
      </c>
      <c r="Q21" s="116"/>
    </row>
    <row r="22" spans="1:17" x14ac:dyDescent="0.25">
      <c r="A22" s="111">
        <v>12.45</v>
      </c>
      <c r="B22" s="3">
        <v>18</v>
      </c>
      <c r="C22" s="1">
        <f t="shared" si="13"/>
        <v>217.64999999999998</v>
      </c>
      <c r="D22" s="1">
        <f t="shared" si="14"/>
        <v>0</v>
      </c>
      <c r="E22" s="1">
        <f t="shared" si="15"/>
        <v>217.64999999999998</v>
      </c>
      <c r="F22" s="115">
        <v>59</v>
      </c>
      <c r="G22" s="2">
        <f t="shared" si="16"/>
        <v>43.68308825736068</v>
      </c>
      <c r="H22" s="28">
        <f t="shared" si="17"/>
        <v>2.1764999999999999</v>
      </c>
      <c r="I22" s="1">
        <f t="shared" si="18"/>
        <v>0.92</v>
      </c>
      <c r="J22" s="3">
        <f t="shared" si="19"/>
        <v>0.74039132639594374</v>
      </c>
      <c r="K22" s="2">
        <f t="shared" si="20"/>
        <v>40.770882373536637</v>
      </c>
      <c r="L22" s="2">
        <f t="shared" si="21"/>
        <v>37.575119704426996</v>
      </c>
      <c r="M22" s="10">
        <f t="shared" si="22"/>
        <v>167.46254975108042</v>
      </c>
      <c r="N22" s="10">
        <f t="shared" si="23"/>
        <v>15.474558294162321</v>
      </c>
      <c r="O22" s="48"/>
      <c r="P22" s="30">
        <f t="shared" si="10"/>
        <v>37.575119704426996</v>
      </c>
      <c r="Q22" s="116"/>
    </row>
    <row r="23" spans="1:17" x14ac:dyDescent="0.25">
      <c r="A23" s="111">
        <v>13.45</v>
      </c>
      <c r="B23" s="3">
        <v>18</v>
      </c>
      <c r="C23" s="1">
        <f t="shared" si="13"/>
        <v>235.64999999999998</v>
      </c>
      <c r="D23" s="1">
        <f t="shared" si="14"/>
        <v>0</v>
      </c>
      <c r="E23" s="1">
        <f t="shared" si="15"/>
        <v>235.64999999999998</v>
      </c>
      <c r="F23" s="115">
        <v>62</v>
      </c>
      <c r="G23" s="2">
        <f t="shared" si="16"/>
        <v>44.259762180078411</v>
      </c>
      <c r="H23" s="1">
        <f t="shared" si="17"/>
        <v>2.3564999999999996</v>
      </c>
      <c r="I23" s="1">
        <f t="shared" si="18"/>
        <v>0.92</v>
      </c>
      <c r="J23" s="3">
        <f t="shared" si="19"/>
        <v>0.71386713193674856</v>
      </c>
      <c r="K23" s="2">
        <f t="shared" si="20"/>
        <v>41.309111368073182</v>
      </c>
      <c r="L23" s="2">
        <f t="shared" si="21"/>
        <v>37.723641699800552</v>
      </c>
      <c r="M23" s="10">
        <f t="shared" si="22"/>
        <v>182.28638611008989</v>
      </c>
      <c r="N23" s="10">
        <f t="shared" si="23"/>
        <v>15.615476430913708</v>
      </c>
      <c r="O23" s="48"/>
      <c r="P23" s="30">
        <f t="shared" si="10"/>
        <v>37.723641699800552</v>
      </c>
      <c r="Q23" s="116"/>
    </row>
    <row r="24" spans="1:17" x14ac:dyDescent="0.25">
      <c r="A24" s="111">
        <v>14.45</v>
      </c>
      <c r="B24" s="3">
        <v>18</v>
      </c>
      <c r="C24" s="1">
        <f t="shared" si="13"/>
        <v>253.64999999999998</v>
      </c>
      <c r="D24" s="1">
        <f t="shared" si="14"/>
        <v>0</v>
      </c>
      <c r="E24" s="1">
        <f t="shared" si="15"/>
        <v>253.64999999999998</v>
      </c>
      <c r="F24" s="115">
        <v>65</v>
      </c>
      <c r="G24" s="2">
        <f t="shared" si="16"/>
        <v>44.80425784183177</v>
      </c>
      <c r="H24" s="28">
        <f t="shared" si="17"/>
        <v>2.5364999999999998</v>
      </c>
      <c r="I24" s="1">
        <f t="shared" si="18"/>
        <v>0.92</v>
      </c>
      <c r="J24" s="3">
        <f t="shared" si="19"/>
        <v>0.68929627448971953</v>
      </c>
      <c r="K24" s="2">
        <f t="shared" si="20"/>
        <v>41.817307319042989</v>
      </c>
      <c r="L24" s="2">
        <f t="shared" si="21"/>
        <v>37.862990650569699</v>
      </c>
      <c r="M24" s="10">
        <f t="shared" si="22"/>
        <v>197.19813566124589</v>
      </c>
      <c r="N24" s="10">
        <f t="shared" si="23"/>
        <v>15.748531370803983</v>
      </c>
      <c r="O24" s="48"/>
      <c r="P24" s="30">
        <f t="shared" si="10"/>
        <v>37.862990650569699</v>
      </c>
      <c r="Q24" s="116"/>
    </row>
    <row r="25" spans="1:17" x14ac:dyDescent="0.25">
      <c r="A25" s="111">
        <v>15.45</v>
      </c>
      <c r="B25" s="3">
        <v>18</v>
      </c>
      <c r="C25" s="1">
        <f t="shared" si="13"/>
        <v>271.64999999999998</v>
      </c>
      <c r="D25" s="1">
        <f t="shared" si="14"/>
        <v>0</v>
      </c>
      <c r="E25" s="1">
        <f t="shared" si="15"/>
        <v>271.64999999999998</v>
      </c>
      <c r="F25" s="115">
        <v>68</v>
      </c>
      <c r="G25" s="2">
        <f t="shared" si="16"/>
        <v>45.315926354118758</v>
      </c>
      <c r="H25" s="28">
        <f t="shared" si="17"/>
        <v>2.7164999999999999</v>
      </c>
      <c r="I25" s="1">
        <f t="shared" si="18"/>
        <v>0.92</v>
      </c>
      <c r="J25" s="3">
        <f t="shared" si="19"/>
        <v>0.66641068167821704</v>
      </c>
      <c r="K25" s="2">
        <f t="shared" si="20"/>
        <v>42.294864597177508</v>
      </c>
      <c r="L25" s="2">
        <f t="shared" si="21"/>
        <v>37.993168713005147</v>
      </c>
      <c r="M25" s="10">
        <f t="shared" si="22"/>
        <v>212.1840867712724</v>
      </c>
      <c r="N25" s="10">
        <f t="shared" si="23"/>
        <v>15.873564549079202</v>
      </c>
      <c r="O25" s="48"/>
      <c r="P25" s="30">
        <f t="shared" si="10"/>
        <v>37.993168713005147</v>
      </c>
      <c r="Q25" s="116"/>
    </row>
    <row r="26" spans="1:17" x14ac:dyDescent="0.25">
      <c r="A26" s="36"/>
    </row>
    <row r="27" spans="1:17" x14ac:dyDescent="0.25">
      <c r="A27" s="51" t="s">
        <v>71</v>
      </c>
      <c r="B27" s="51"/>
    </row>
    <row r="29" spans="1:17" ht="15.75" thickBot="1" x14ac:dyDescent="0.3">
      <c r="A29" s="37"/>
      <c r="B29" s="37"/>
      <c r="C29" s="37"/>
      <c r="D29" s="37"/>
    </row>
    <row r="30" spans="1:17" x14ac:dyDescent="0.25">
      <c r="A30" t="s">
        <v>72</v>
      </c>
    </row>
    <row r="31" spans="1:17" x14ac:dyDescent="0.25">
      <c r="A31" t="s">
        <v>73</v>
      </c>
    </row>
    <row r="32" spans="1:17" x14ac:dyDescent="0.25">
      <c r="A32" t="s">
        <v>74</v>
      </c>
    </row>
  </sheetData>
  <mergeCells count="21">
    <mergeCell ref="A2:Q2"/>
    <mergeCell ref="A3:Q3"/>
    <mergeCell ref="A4:Q4"/>
    <mergeCell ref="A5:B5"/>
    <mergeCell ref="C5:Q5"/>
    <mergeCell ref="Q10:Q12"/>
    <mergeCell ref="Q13:Q25"/>
    <mergeCell ref="A6:B6"/>
    <mergeCell ref="C6:Q6"/>
    <mergeCell ref="N7:Q7"/>
    <mergeCell ref="A8:B8"/>
    <mergeCell ref="C8:D8"/>
    <mergeCell ref="F8:G8"/>
    <mergeCell ref="N8:Q8"/>
    <mergeCell ref="A7:B7"/>
    <mergeCell ref="O11:O16"/>
    <mergeCell ref="A27:B27"/>
    <mergeCell ref="C7:E7"/>
    <mergeCell ref="F7:G7"/>
    <mergeCell ref="J7:K8"/>
    <mergeCell ref="L7:M8"/>
  </mergeCells>
  <pageMargins left="0.51181102362204722" right="0.51181102362204722" top="0.55118110236220474" bottom="0.55118110236220474" header="0.31496062992125984" footer="0.31496062992125984"/>
  <pageSetup orientation="landscape" r:id="rId1"/>
  <headerFooter>
    <oddFooter>&amp;C&amp;"Arial,Normal"&amp;8MEMORIAS DE CÁLCULO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0"/>
  <sheetViews>
    <sheetView workbookViewId="0">
      <selection activeCell="M8" sqref="M8"/>
    </sheetView>
  </sheetViews>
  <sheetFormatPr baseColWidth="10" defaultRowHeight="15" x14ac:dyDescent="0.25"/>
  <cols>
    <col min="7" max="7" width="26.42578125" bestFit="1" customWidth="1"/>
    <col min="10" max="10" width="0.85546875" customWidth="1"/>
    <col min="15" max="15" width="0.85546875" customWidth="1"/>
  </cols>
  <sheetData>
    <row r="1" spans="1:18" x14ac:dyDescent="0.25">
      <c r="D1" t="s">
        <v>27</v>
      </c>
    </row>
    <row r="3" spans="1:18" x14ac:dyDescent="0.25">
      <c r="D3" t="s">
        <v>28</v>
      </c>
      <c r="E3" t="s">
        <v>21</v>
      </c>
    </row>
    <row r="4" spans="1:18" x14ac:dyDescent="0.25">
      <c r="A4" t="e">
        <f>#REF!</f>
        <v>#REF!</v>
      </c>
      <c r="B4" t="e">
        <f>#REF!</f>
        <v>#REF!</v>
      </c>
      <c r="C4" t="e">
        <f>#REF!</f>
        <v>#REF!</v>
      </c>
      <c r="D4" t="e">
        <f>#REF!</f>
        <v>#REF!</v>
      </c>
      <c r="E4" t="e">
        <f>#REF!</f>
        <v>#REF!</v>
      </c>
      <c r="F4" t="e">
        <f>#REF!</f>
        <v>#REF!</v>
      </c>
      <c r="G4" t="e">
        <f>#REF!</f>
        <v>#REF!</v>
      </c>
      <c r="H4" t="s">
        <v>38</v>
      </c>
      <c r="I4" t="s">
        <v>29</v>
      </c>
      <c r="K4" t="s">
        <v>48</v>
      </c>
      <c r="L4" t="s">
        <v>46</v>
      </c>
      <c r="M4" t="s">
        <v>47</v>
      </c>
      <c r="N4" t="s">
        <v>30</v>
      </c>
      <c r="P4" t="e">
        <f t="shared" ref="P4" si="0">A4</f>
        <v>#REF!</v>
      </c>
      <c r="Q4" t="s">
        <v>45</v>
      </c>
      <c r="R4" t="s">
        <v>31</v>
      </c>
    </row>
    <row r="5" spans="1:18" x14ac:dyDescent="0.25">
      <c r="A5" t="e">
        <f>#REF!</f>
        <v>#REF!</v>
      </c>
      <c r="B5" t="e">
        <f>#REF!</f>
        <v>#REF!</v>
      </c>
      <c r="C5" t="e">
        <f>#REF!</f>
        <v>#REF!</v>
      </c>
      <c r="D5" t="e">
        <f>#REF!</f>
        <v>#REF!</v>
      </c>
      <c r="E5" t="e">
        <f>#REF!</f>
        <v>#REF!</v>
      </c>
      <c r="F5" s="14" t="e">
        <f>#REF!</f>
        <v>#REF!</v>
      </c>
      <c r="G5" t="e">
        <f>#REF!</f>
        <v>#REF!</v>
      </c>
      <c r="H5" t="e">
        <f>AVERAGE(B5)</f>
        <v>#REF!</v>
      </c>
      <c r="I5" t="e">
        <f>AVERAGE(D5)</f>
        <v>#REF!</v>
      </c>
      <c r="K5" s="16" t="e">
        <f>AVERAGE(E!H5,E!H19,E!H33)</f>
        <v>#REF!</v>
      </c>
      <c r="L5" s="16" t="e">
        <f>AVERAGE(E!E5,E!E19,E!E33)</f>
        <v>#REF!</v>
      </c>
      <c r="M5" s="16" t="e">
        <f>AVERAGE(E!F5,E!F19,E!F33)</f>
        <v>#REF!</v>
      </c>
      <c r="N5" t="e">
        <f>AVERAGE(I5,I19,I33)*1000</f>
        <v>#REF!</v>
      </c>
      <c r="P5" t="e">
        <f t="shared" ref="P5:P15" si="1">A19</f>
        <v>#REF!</v>
      </c>
      <c r="Q5" s="14" t="e">
        <f t="shared" ref="Q5:Q13" si="2">AVERAGE(C5,C19,C33)</f>
        <v>#REF!</v>
      </c>
      <c r="R5" s="14" t="e">
        <f t="shared" ref="R5" si="3">AVERAGE(D5,D19,D33)*1000</f>
        <v>#REF!</v>
      </c>
    </row>
    <row r="6" spans="1:18" x14ac:dyDescent="0.25">
      <c r="A6" t="e">
        <f>#REF!</f>
        <v>#REF!</v>
      </c>
      <c r="B6" t="e">
        <f>#REF!</f>
        <v>#REF!</v>
      </c>
      <c r="C6" t="e">
        <f>#REF!</f>
        <v>#REF!</v>
      </c>
      <c r="D6" t="e">
        <f>#REF!</f>
        <v>#REF!</v>
      </c>
      <c r="E6" t="e">
        <f>#REF!</f>
        <v>#REF!</v>
      </c>
      <c r="F6" s="14" t="e">
        <f>#REF!</f>
        <v>#REF!</v>
      </c>
      <c r="G6" t="e">
        <f>#REF!</f>
        <v>#REF!</v>
      </c>
      <c r="H6" t="e">
        <f>AVERAGE(B6:B11)</f>
        <v>#REF!</v>
      </c>
      <c r="I6" t="e">
        <f>AVERAGE(D6:D11)</f>
        <v>#REF!</v>
      </c>
      <c r="K6" s="14" t="e">
        <f>AVERAGE(E!H6,E!H20,E!H34)</f>
        <v>#REF!</v>
      </c>
      <c r="L6" s="16" t="e">
        <f>AVERAGE(E!E6,E!E20,E!E34)</f>
        <v>#REF!</v>
      </c>
      <c r="M6" s="16" t="e">
        <f>AVERAGE(E!F6,E!F20,E!F34)</f>
        <v>#REF!</v>
      </c>
      <c r="N6" t="e">
        <f>AVERAGE(I6,I20,I34)*1000</f>
        <v>#REF!</v>
      </c>
      <c r="P6" t="e">
        <f t="shared" si="1"/>
        <v>#REF!</v>
      </c>
      <c r="Q6" s="14" t="e">
        <f t="shared" si="2"/>
        <v>#REF!</v>
      </c>
      <c r="R6" s="14" t="e">
        <f t="shared" ref="R6:R12" si="4">AVERAGE(D6,D20,D34)*1000</f>
        <v>#REF!</v>
      </c>
    </row>
    <row r="7" spans="1:18" x14ac:dyDescent="0.25">
      <c r="A7" t="e">
        <f>#REF!</f>
        <v>#REF!</v>
      </c>
      <c r="B7" t="e">
        <f>#REF!</f>
        <v>#REF!</v>
      </c>
      <c r="C7" t="e">
        <f>#REF!</f>
        <v>#REF!</v>
      </c>
      <c r="D7" t="e">
        <f>#REF!</f>
        <v>#REF!</v>
      </c>
      <c r="E7" t="e">
        <f>#REF!</f>
        <v>#REF!</v>
      </c>
      <c r="F7" s="14" t="e">
        <f>#REF!</f>
        <v>#REF!</v>
      </c>
      <c r="G7" t="e">
        <f>#REF!</f>
        <v>#REF!</v>
      </c>
      <c r="K7" s="16"/>
      <c r="L7" s="16"/>
      <c r="M7" s="16"/>
      <c r="P7" t="e">
        <f t="shared" si="1"/>
        <v>#REF!</v>
      </c>
      <c r="Q7" s="14" t="e">
        <f t="shared" si="2"/>
        <v>#REF!</v>
      </c>
      <c r="R7" s="14" t="e">
        <f t="shared" si="4"/>
        <v>#REF!</v>
      </c>
    </row>
    <row r="8" spans="1:18" x14ac:dyDescent="0.25">
      <c r="A8" t="e">
        <f>#REF!</f>
        <v>#REF!</v>
      </c>
      <c r="B8" t="e">
        <f>#REF!</f>
        <v>#REF!</v>
      </c>
      <c r="C8" t="e">
        <f>#REF!</f>
        <v>#REF!</v>
      </c>
      <c r="D8" t="e">
        <f>#REF!</f>
        <v>#REF!</v>
      </c>
      <c r="E8" t="e">
        <f>#REF!</f>
        <v>#REF!</v>
      </c>
      <c r="F8" s="14" t="e">
        <f>#REF!</f>
        <v>#REF!</v>
      </c>
      <c r="G8" t="e">
        <f>#REF!</f>
        <v>#REF!</v>
      </c>
      <c r="P8" t="e">
        <f t="shared" si="1"/>
        <v>#REF!</v>
      </c>
      <c r="Q8" s="14" t="e">
        <f t="shared" si="2"/>
        <v>#REF!</v>
      </c>
      <c r="R8" s="14" t="e">
        <f t="shared" si="4"/>
        <v>#REF!</v>
      </c>
    </row>
    <row r="9" spans="1:18" x14ac:dyDescent="0.25">
      <c r="A9" t="e">
        <f>#REF!</f>
        <v>#REF!</v>
      </c>
      <c r="B9" t="e">
        <f>#REF!</f>
        <v>#REF!</v>
      </c>
      <c r="C9" t="e">
        <f>#REF!</f>
        <v>#REF!</v>
      </c>
      <c r="D9" t="e">
        <f>#REF!</f>
        <v>#REF!</v>
      </c>
      <c r="E9" t="e">
        <f>#REF!</f>
        <v>#REF!</v>
      </c>
      <c r="F9" s="14" t="e">
        <f>#REF!</f>
        <v>#REF!</v>
      </c>
      <c r="G9" t="e">
        <f>#REF!</f>
        <v>#REF!</v>
      </c>
      <c r="P9" t="e">
        <f t="shared" si="1"/>
        <v>#REF!</v>
      </c>
      <c r="Q9" s="14" t="e">
        <f t="shared" si="2"/>
        <v>#REF!</v>
      </c>
      <c r="R9" s="14" t="e">
        <f t="shared" si="4"/>
        <v>#REF!</v>
      </c>
    </row>
    <row r="10" spans="1:18" x14ac:dyDescent="0.25">
      <c r="A10" t="e">
        <f>#REF!</f>
        <v>#REF!</v>
      </c>
      <c r="B10" t="e">
        <f>#REF!</f>
        <v>#REF!</v>
      </c>
      <c r="C10" t="e">
        <f>#REF!</f>
        <v>#REF!</v>
      </c>
      <c r="D10" t="e">
        <f>#REF!</f>
        <v>#REF!</v>
      </c>
      <c r="E10" t="e">
        <f>#REF!</f>
        <v>#REF!</v>
      </c>
      <c r="F10" s="14" t="e">
        <f>#REF!</f>
        <v>#REF!</v>
      </c>
      <c r="G10" t="e">
        <f>#REF!</f>
        <v>#REF!</v>
      </c>
      <c r="K10" s="14" t="e">
        <f>AVERAGE(K6:K8)</f>
        <v>#REF!</v>
      </c>
      <c r="L10" s="14" t="e">
        <f>AVERAGE(L6:L8)</f>
        <v>#REF!</v>
      </c>
      <c r="M10" s="14" t="e">
        <f>AVERAGE(M6:M8)</f>
        <v>#REF!</v>
      </c>
      <c r="P10" t="e">
        <f t="shared" si="1"/>
        <v>#REF!</v>
      </c>
      <c r="Q10" s="14" t="e">
        <f t="shared" si="2"/>
        <v>#REF!</v>
      </c>
      <c r="R10" s="14" t="e">
        <f t="shared" si="4"/>
        <v>#REF!</v>
      </c>
    </row>
    <row r="11" spans="1:18" x14ac:dyDescent="0.25">
      <c r="A11" t="e">
        <f>#REF!</f>
        <v>#REF!</v>
      </c>
      <c r="B11" t="e">
        <f>#REF!</f>
        <v>#REF!</v>
      </c>
      <c r="C11" t="e">
        <f>#REF!</f>
        <v>#REF!</v>
      </c>
      <c r="D11" t="e">
        <f>#REF!</f>
        <v>#REF!</v>
      </c>
      <c r="E11" t="e">
        <f>#REF!</f>
        <v>#REF!</v>
      </c>
      <c r="F11" s="14" t="e">
        <f>#REF!</f>
        <v>#REF!</v>
      </c>
      <c r="G11" t="e">
        <f>#REF!</f>
        <v>#REF!</v>
      </c>
      <c r="P11" t="e">
        <f t="shared" si="1"/>
        <v>#REF!</v>
      </c>
      <c r="Q11" s="14" t="e">
        <f t="shared" si="2"/>
        <v>#REF!</v>
      </c>
      <c r="R11" s="14" t="e">
        <f t="shared" si="4"/>
        <v>#REF!</v>
      </c>
    </row>
    <row r="12" spans="1:18" x14ac:dyDescent="0.25">
      <c r="A12" t="e">
        <f>#REF!</f>
        <v>#REF!</v>
      </c>
      <c r="B12" t="e">
        <f>#REF!</f>
        <v>#REF!</v>
      </c>
      <c r="C12" t="e">
        <f>#REF!</f>
        <v>#REF!</v>
      </c>
      <c r="D12" t="e">
        <f>#REF!</f>
        <v>#REF!</v>
      </c>
      <c r="E12" t="e">
        <f>#REF!</f>
        <v>#REF!</v>
      </c>
      <c r="F12" s="14" t="e">
        <f>#REF!</f>
        <v>#REF!</v>
      </c>
      <c r="G12" t="e">
        <f>#REF!</f>
        <v>#REF!</v>
      </c>
      <c r="P12" t="e">
        <f t="shared" si="1"/>
        <v>#REF!</v>
      </c>
      <c r="Q12" s="14" t="e">
        <f t="shared" si="2"/>
        <v>#REF!</v>
      </c>
      <c r="R12" s="14" t="e">
        <f t="shared" si="4"/>
        <v>#REF!</v>
      </c>
    </row>
    <row r="13" spans="1:18" x14ac:dyDescent="0.25">
      <c r="A13" t="e">
        <f>#REF!</f>
        <v>#REF!</v>
      </c>
      <c r="B13" t="e">
        <f>#REF!</f>
        <v>#REF!</v>
      </c>
      <c r="C13" t="e">
        <f>#REF!</f>
        <v>#REF!</v>
      </c>
      <c r="D13" t="e">
        <f>#REF!</f>
        <v>#REF!</v>
      </c>
      <c r="E13" t="e">
        <f>#REF!</f>
        <v>#REF!</v>
      </c>
      <c r="F13" s="14" t="e">
        <f>#REF!</f>
        <v>#REF!</v>
      </c>
      <c r="G13" t="e">
        <f>#REF!</f>
        <v>#REF!</v>
      </c>
      <c r="P13" t="e">
        <f t="shared" si="1"/>
        <v>#REF!</v>
      </c>
      <c r="Q13" s="14" t="e">
        <f t="shared" si="2"/>
        <v>#REF!</v>
      </c>
      <c r="R13" s="14" t="e">
        <f>AVERAGE(D41)*1000</f>
        <v>#REF!</v>
      </c>
    </row>
    <row r="14" spans="1:18" x14ac:dyDescent="0.25">
      <c r="A14" t="e">
        <f>#REF!</f>
        <v>#REF!</v>
      </c>
      <c r="B14" t="e">
        <f>#REF!</f>
        <v>#REF!</v>
      </c>
      <c r="C14" t="e">
        <f>#REF!</f>
        <v>#REF!</v>
      </c>
      <c r="D14" t="e">
        <f>#REF!</f>
        <v>#REF!</v>
      </c>
      <c r="E14" t="e">
        <f>#REF!</f>
        <v>#REF!</v>
      </c>
      <c r="F14" s="14" t="e">
        <f>#REF!</f>
        <v>#REF!</v>
      </c>
      <c r="G14" t="e">
        <f>#REF!</f>
        <v>#REF!</v>
      </c>
      <c r="P14" t="e">
        <f t="shared" si="1"/>
        <v>#REF!</v>
      </c>
      <c r="Q14" s="14" t="e">
        <f t="shared" ref="Q14" si="5">AVERAGE(C14,C28,C42)</f>
        <v>#REF!</v>
      </c>
      <c r="R14" s="14" t="e">
        <f>AVERAGE(D14,D28,D42)*1000</f>
        <v>#REF!</v>
      </c>
    </row>
    <row r="15" spans="1:18" x14ac:dyDescent="0.25">
      <c r="F15" s="14"/>
      <c r="P15">
        <f t="shared" si="1"/>
        <v>0</v>
      </c>
      <c r="Q15" s="14" t="e">
        <f>AVERAGE(C15,C29,C43)</f>
        <v>#DIV/0!</v>
      </c>
      <c r="R15" s="14"/>
    </row>
    <row r="16" spans="1:18" x14ac:dyDescent="0.25">
      <c r="F16" s="14"/>
      <c r="Q16" s="14"/>
      <c r="R16" s="14"/>
    </row>
    <row r="17" spans="1:18" x14ac:dyDescent="0.25">
      <c r="D17" t="s">
        <v>28</v>
      </c>
      <c r="E17" t="s">
        <v>24</v>
      </c>
      <c r="Q17" s="14"/>
      <c r="R17" s="14"/>
    </row>
    <row r="18" spans="1:18" x14ac:dyDescent="0.25">
      <c r="A18" t="e">
        <f>#REF!</f>
        <v>#REF!</v>
      </c>
      <c r="B18" t="e">
        <f>#REF!</f>
        <v>#REF!</v>
      </c>
      <c r="C18" t="e">
        <f>#REF!</f>
        <v>#REF!</v>
      </c>
      <c r="D18" t="e">
        <f>#REF!</f>
        <v>#REF!</v>
      </c>
      <c r="E18" t="e">
        <f>#REF!</f>
        <v>#REF!</v>
      </c>
      <c r="F18" t="e">
        <f>#REF!</f>
        <v>#REF!</v>
      </c>
      <c r="G18" t="e">
        <f>#REF!</f>
        <v>#REF!</v>
      </c>
      <c r="H18" t="s">
        <v>38</v>
      </c>
      <c r="I18" t="s">
        <v>29</v>
      </c>
      <c r="R18" s="14"/>
    </row>
    <row r="19" spans="1:18" x14ac:dyDescent="0.25">
      <c r="A19" t="e">
        <f>#REF!</f>
        <v>#REF!</v>
      </c>
      <c r="B19" t="e">
        <f>#REF!</f>
        <v>#REF!</v>
      </c>
      <c r="C19" t="e">
        <f>#REF!</f>
        <v>#REF!</v>
      </c>
      <c r="D19" t="e">
        <f>#REF!</f>
        <v>#REF!</v>
      </c>
      <c r="E19" t="e">
        <f>#REF!</f>
        <v>#REF!</v>
      </c>
      <c r="F19" t="e">
        <f>#REF!</f>
        <v>#REF!</v>
      </c>
      <c r="G19" t="e">
        <f>#REF!</f>
        <v>#REF!</v>
      </c>
      <c r="H19" t="e">
        <f>AVERAGE(B19)</f>
        <v>#REF!</v>
      </c>
      <c r="I19" t="e">
        <f>AVERAGE(D19)</f>
        <v>#REF!</v>
      </c>
      <c r="R19" s="14"/>
    </row>
    <row r="20" spans="1:18" x14ac:dyDescent="0.25">
      <c r="A20" t="e">
        <f>#REF!</f>
        <v>#REF!</v>
      </c>
      <c r="B20" t="e">
        <f>#REF!</f>
        <v>#REF!</v>
      </c>
      <c r="C20" t="e">
        <f>#REF!</f>
        <v>#REF!</v>
      </c>
      <c r="D20" t="e">
        <f>#REF!</f>
        <v>#REF!</v>
      </c>
      <c r="E20" t="e">
        <f>#REF!</f>
        <v>#REF!</v>
      </c>
      <c r="F20" t="e">
        <f>#REF!</f>
        <v>#REF!</v>
      </c>
      <c r="G20" t="e">
        <f>#REF!</f>
        <v>#REF!</v>
      </c>
      <c r="H20" t="e">
        <f>AVERAGE(B20:B25)</f>
        <v>#REF!</v>
      </c>
      <c r="I20" t="e">
        <f>AVERAGE(D20:D25)</f>
        <v>#REF!</v>
      </c>
      <c r="R20" s="14"/>
    </row>
    <row r="21" spans="1:18" x14ac:dyDescent="0.25">
      <c r="A21" t="e">
        <f>#REF!</f>
        <v>#REF!</v>
      </c>
      <c r="B21" t="e">
        <f>#REF!</f>
        <v>#REF!</v>
      </c>
      <c r="C21" t="e">
        <f>#REF!</f>
        <v>#REF!</v>
      </c>
      <c r="D21" t="e">
        <f>#REF!</f>
        <v>#REF!</v>
      </c>
      <c r="E21" t="e">
        <f>#REF!</f>
        <v>#REF!</v>
      </c>
      <c r="F21" t="e">
        <f>#REF!</f>
        <v>#REF!</v>
      </c>
      <c r="G21" t="e">
        <f>#REF!</f>
        <v>#REF!</v>
      </c>
      <c r="R21" s="14"/>
    </row>
    <row r="22" spans="1:18" x14ac:dyDescent="0.25">
      <c r="A22" t="e">
        <f>#REF!</f>
        <v>#REF!</v>
      </c>
      <c r="B22" t="e">
        <f>#REF!</f>
        <v>#REF!</v>
      </c>
      <c r="C22" t="e">
        <f>#REF!</f>
        <v>#REF!</v>
      </c>
      <c r="D22" t="e">
        <f>#REF!</f>
        <v>#REF!</v>
      </c>
      <c r="E22" t="e">
        <f>#REF!</f>
        <v>#REF!</v>
      </c>
      <c r="F22" t="e">
        <f>#REF!</f>
        <v>#REF!</v>
      </c>
      <c r="G22" t="e">
        <f>#REF!</f>
        <v>#REF!</v>
      </c>
      <c r="R22" s="14"/>
    </row>
    <row r="23" spans="1:18" x14ac:dyDescent="0.25">
      <c r="A23" t="e">
        <f>#REF!</f>
        <v>#REF!</v>
      </c>
      <c r="B23" t="e">
        <f>#REF!</f>
        <v>#REF!</v>
      </c>
      <c r="C23" t="e">
        <f>#REF!</f>
        <v>#REF!</v>
      </c>
      <c r="D23" t="e">
        <f>#REF!</f>
        <v>#REF!</v>
      </c>
      <c r="E23" t="e">
        <f>#REF!</f>
        <v>#REF!</v>
      </c>
      <c r="F23" t="e">
        <f>#REF!</f>
        <v>#REF!</v>
      </c>
      <c r="G23" t="e">
        <f>#REF!</f>
        <v>#REF!</v>
      </c>
      <c r="P23" s="14"/>
      <c r="Q23" s="14"/>
    </row>
    <row r="24" spans="1:18" x14ac:dyDescent="0.25">
      <c r="A24" t="e">
        <f>#REF!</f>
        <v>#REF!</v>
      </c>
      <c r="B24" t="e">
        <f>#REF!</f>
        <v>#REF!</v>
      </c>
      <c r="C24" t="e">
        <f>#REF!</f>
        <v>#REF!</v>
      </c>
      <c r="D24" t="e">
        <f>#REF!</f>
        <v>#REF!</v>
      </c>
      <c r="E24" t="e">
        <f>#REF!</f>
        <v>#REF!</v>
      </c>
      <c r="F24" t="e">
        <f>#REF!</f>
        <v>#REF!</v>
      </c>
      <c r="G24" t="e">
        <f>#REF!</f>
        <v>#REF!</v>
      </c>
    </row>
    <row r="25" spans="1:18" x14ac:dyDescent="0.25">
      <c r="A25" t="e">
        <f>#REF!</f>
        <v>#REF!</v>
      </c>
      <c r="B25" t="e">
        <f>#REF!</f>
        <v>#REF!</v>
      </c>
      <c r="C25" t="e">
        <f>#REF!</f>
        <v>#REF!</v>
      </c>
      <c r="D25" t="e">
        <f>#REF!</f>
        <v>#REF!</v>
      </c>
      <c r="E25" t="e">
        <f>#REF!</f>
        <v>#REF!</v>
      </c>
      <c r="F25" t="e">
        <f>#REF!</f>
        <v>#REF!</v>
      </c>
      <c r="G25" t="e">
        <f>#REF!</f>
        <v>#REF!</v>
      </c>
    </row>
    <row r="26" spans="1:18" x14ac:dyDescent="0.25">
      <c r="A26" t="e">
        <f>#REF!</f>
        <v>#REF!</v>
      </c>
      <c r="B26" t="e">
        <f>#REF!</f>
        <v>#REF!</v>
      </c>
      <c r="C26" t="e">
        <f>#REF!</f>
        <v>#REF!</v>
      </c>
      <c r="D26" t="e">
        <f>#REF!</f>
        <v>#REF!</v>
      </c>
      <c r="E26" t="e">
        <f>#REF!</f>
        <v>#REF!</v>
      </c>
      <c r="F26" t="e">
        <f>#REF!</f>
        <v>#REF!</v>
      </c>
      <c r="G26" t="e">
        <f>#REF!</f>
        <v>#REF!</v>
      </c>
    </row>
    <row r="27" spans="1:18" x14ac:dyDescent="0.25">
      <c r="A27" t="e">
        <f>#REF!</f>
        <v>#REF!</v>
      </c>
      <c r="B27" t="e">
        <f>#REF!</f>
        <v>#REF!</v>
      </c>
      <c r="C27" t="e">
        <f>#REF!</f>
        <v>#REF!</v>
      </c>
      <c r="D27" t="e">
        <f>#REF!</f>
        <v>#REF!</v>
      </c>
      <c r="E27" t="e">
        <f>#REF!</f>
        <v>#REF!</v>
      </c>
      <c r="F27" t="e">
        <f>#REF!</f>
        <v>#REF!</v>
      </c>
      <c r="G27" t="e">
        <f>#REF!</f>
        <v>#REF!</v>
      </c>
    </row>
    <row r="28" spans="1:18" x14ac:dyDescent="0.25">
      <c r="A28" t="e">
        <f>#REF!</f>
        <v>#REF!</v>
      </c>
      <c r="B28" t="e">
        <f>#REF!</f>
        <v>#REF!</v>
      </c>
      <c r="C28" t="e">
        <f>#REF!</f>
        <v>#REF!</v>
      </c>
      <c r="D28" t="e">
        <f>#REF!</f>
        <v>#REF!</v>
      </c>
      <c r="E28" t="e">
        <f>#REF!</f>
        <v>#REF!</v>
      </c>
      <c r="F28" t="e">
        <f>#REF!</f>
        <v>#REF!</v>
      </c>
      <c r="G28" t="e">
        <f>#REF!</f>
        <v>#REF!</v>
      </c>
    </row>
    <row r="31" spans="1:18" x14ac:dyDescent="0.25">
      <c r="D31" t="s">
        <v>28</v>
      </c>
      <c r="E31" t="s">
        <v>25</v>
      </c>
    </row>
    <row r="32" spans="1:18" x14ac:dyDescent="0.25">
      <c r="A32" t="str">
        <f>'P3'!A9</f>
        <v>Z(m)</v>
      </c>
      <c r="B32" t="str">
        <f>'P3'!B9</f>
        <v>g (kN/m3)</v>
      </c>
      <c r="C32" t="str">
        <f>'P3'!K9</f>
        <v>N1(45)</v>
      </c>
      <c r="D32" t="str">
        <f>'P3'!N9</f>
        <v>E (MPa)</v>
      </c>
      <c r="E32" t="str">
        <f>'P3'!O9</f>
        <v>C' (kPa)</v>
      </c>
      <c r="F32" t="str">
        <f>'P3'!P9</f>
        <v xml:space="preserve">f' (°) </v>
      </c>
      <c r="G32" t="str">
        <f>'P3'!Q9</f>
        <v>Suelo</v>
      </c>
      <c r="H32" t="s">
        <v>38</v>
      </c>
      <c r="I32" t="s">
        <v>29</v>
      </c>
      <c r="R32" s="14"/>
    </row>
    <row r="33" spans="1:9" x14ac:dyDescent="0.25">
      <c r="A33">
        <f>'P3'!A10</f>
        <v>0.45</v>
      </c>
      <c r="B33">
        <f>'P3'!B10</f>
        <v>15</v>
      </c>
      <c r="C33">
        <f>'P3'!K10</f>
        <v>26.597516763632445</v>
      </c>
      <c r="D33">
        <f>'P3'!N10</f>
        <v>8.3284813874370531</v>
      </c>
      <c r="E33">
        <f>'P3'!O10</f>
        <v>5</v>
      </c>
      <c r="F33">
        <f>'P3'!P10</f>
        <v>33.233731366492307</v>
      </c>
      <c r="G33" t="e">
        <f>'P3'!#REF!</f>
        <v>#REF!</v>
      </c>
      <c r="H33">
        <f>AVERAGE(B33)</f>
        <v>15</v>
      </c>
      <c r="I33">
        <f>AVERAGE(D33)</f>
        <v>8.3284813874370531</v>
      </c>
    </row>
    <row r="34" spans="1:9" x14ac:dyDescent="0.25">
      <c r="A34">
        <f>'P3'!A11</f>
        <v>1.45</v>
      </c>
      <c r="B34">
        <f>'P3'!B11</f>
        <v>17</v>
      </c>
      <c r="C34">
        <f>'P3'!K11</f>
        <v>27.392638240769745</v>
      </c>
      <c r="D34">
        <f>'P3'!N11</f>
        <v>11.971890739401534</v>
      </c>
      <c r="E34">
        <f>'P3'!O11</f>
        <v>5</v>
      </c>
      <c r="F34">
        <f>'P3'!P11</f>
        <v>33.504269183343119</v>
      </c>
      <c r="G34" t="e">
        <f>'P3'!#REF!</f>
        <v>#REF!</v>
      </c>
      <c r="H34">
        <f>AVERAGE(B34:B39)</f>
        <v>17</v>
      </c>
      <c r="I34">
        <f>AVERAGE(D34:D39)</f>
        <v>13.347995304248903</v>
      </c>
    </row>
    <row r="35" spans="1:9" x14ac:dyDescent="0.25">
      <c r="A35">
        <f>'P3'!A12</f>
        <v>2.4500000000000002</v>
      </c>
      <c r="B35">
        <f>'P3'!B12</f>
        <v>17</v>
      </c>
      <c r="C35">
        <f>'P3'!K12</f>
        <v>26.536709049582601</v>
      </c>
      <c r="D35">
        <f>'P3'!N12</f>
        <v>11.74779291479981</v>
      </c>
      <c r="E35">
        <f>'P3'!O12</f>
        <v>0</v>
      </c>
      <c r="F35">
        <f>'P3'!P12</f>
        <v>33.212876300018692</v>
      </c>
      <c r="G35" t="e">
        <f>'P3'!#REF!</f>
        <v>#REF!</v>
      </c>
    </row>
    <row r="36" spans="1:9" x14ac:dyDescent="0.25">
      <c r="A36">
        <f>'P3'!A13</f>
        <v>3.45</v>
      </c>
      <c r="B36">
        <f>'P3'!B13</f>
        <v>17</v>
      </c>
      <c r="C36">
        <f>'P3'!K13</f>
        <v>31.887625734186404</v>
      </c>
      <c r="D36">
        <f>'P3'!N13</f>
        <v>13.148760192223349</v>
      </c>
      <c r="E36">
        <f>'P3'!O13</f>
        <v>0</v>
      </c>
      <c r="F36">
        <f>'P3'!P13</f>
        <v>34.964852157662726</v>
      </c>
      <c r="G36" t="e">
        <f>'P3'!#REF!</f>
        <v>#REF!</v>
      </c>
    </row>
    <row r="37" spans="1:9" x14ac:dyDescent="0.25">
      <c r="A37">
        <f>'P3'!A14</f>
        <v>4.45</v>
      </c>
      <c r="B37">
        <f>'P3'!B14</f>
        <v>17</v>
      </c>
      <c r="C37">
        <f>'P3'!K14</f>
        <v>35.709569768665368</v>
      </c>
      <c r="D37">
        <f>'P3'!N14</f>
        <v>14.149414630341481</v>
      </c>
      <c r="E37">
        <f>'P3'!O14</f>
        <v>0</v>
      </c>
      <c r="F37">
        <f>'P3'!P14</f>
        <v>36.127461326631675</v>
      </c>
      <c r="G37" t="e">
        <f>'P3'!#REF!</f>
        <v>#REF!</v>
      </c>
    </row>
    <row r="38" spans="1:9" x14ac:dyDescent="0.25">
      <c r="A38">
        <f>'P3'!A15</f>
        <v>5.45</v>
      </c>
      <c r="B38">
        <f>'P3'!B15</f>
        <v>17</v>
      </c>
      <c r="C38">
        <f>'P3'!K15</f>
        <v>36.3704754271292</v>
      </c>
      <c r="D38">
        <f>'P3'!N15</f>
        <v>14.322451748193826</v>
      </c>
      <c r="E38">
        <f>'P3'!O15</f>
        <v>0</v>
      </c>
      <c r="F38">
        <f>'P3'!P15</f>
        <v>36.32207641950275</v>
      </c>
      <c r="G38" t="e">
        <f>'P3'!#REF!</f>
        <v>#REF!</v>
      </c>
    </row>
    <row r="39" spans="1:9" x14ac:dyDescent="0.25">
      <c r="A39">
        <f>'P3'!A16</f>
        <v>6.45</v>
      </c>
      <c r="B39">
        <f>'P3'!B16</f>
        <v>17</v>
      </c>
      <c r="C39">
        <f>'P3'!K16</f>
        <v>37.99454083537065</v>
      </c>
      <c r="D39">
        <f>'P3'!N16</f>
        <v>14.747661600533407</v>
      </c>
      <c r="E39">
        <f>'P3'!O16</f>
        <v>0</v>
      </c>
      <c r="F39">
        <f>'P3'!P16</f>
        <v>36.792929138648006</v>
      </c>
      <c r="G39">
        <f>'P3'!Q16</f>
        <v>0</v>
      </c>
    </row>
    <row r="40" spans="1:9" x14ac:dyDescent="0.25">
      <c r="A40" t="e">
        <f>'P3'!#REF!</f>
        <v>#REF!</v>
      </c>
      <c r="B40" t="e">
        <f>'P3'!#REF!</f>
        <v>#REF!</v>
      </c>
      <c r="C40" t="e">
        <f>'P3'!#REF!</f>
        <v>#REF!</v>
      </c>
      <c r="D40" t="e">
        <f>'P3'!#REF!</f>
        <v>#REF!</v>
      </c>
      <c r="E40" t="e">
        <f>'P3'!#REF!</f>
        <v>#REF!</v>
      </c>
      <c r="F40" t="e">
        <f>'P3'!#REF!</f>
        <v>#REF!</v>
      </c>
      <c r="G40" t="e">
        <f>'P3'!#REF!</f>
        <v>#REF!</v>
      </c>
    </row>
    <row r="41" spans="1:9" x14ac:dyDescent="0.25">
      <c r="A41" t="e">
        <f>'P3'!#REF!</f>
        <v>#REF!</v>
      </c>
      <c r="B41" t="e">
        <f>'P3'!#REF!</f>
        <v>#REF!</v>
      </c>
      <c r="C41" t="e">
        <f>'P3'!#REF!</f>
        <v>#REF!</v>
      </c>
      <c r="D41" t="e">
        <f>'P3'!#REF!</f>
        <v>#REF!</v>
      </c>
      <c r="E41" t="e">
        <f>'P3'!#REF!</f>
        <v>#REF!</v>
      </c>
      <c r="F41" t="e">
        <f>'P3'!#REF!</f>
        <v>#REF!</v>
      </c>
      <c r="G41" t="e">
        <f>'P3'!#REF!</f>
        <v>#REF!</v>
      </c>
    </row>
    <row r="42" spans="1:9" x14ac:dyDescent="0.25">
      <c r="A42" t="e">
        <f>'P3'!#REF!</f>
        <v>#REF!</v>
      </c>
      <c r="B42" t="e">
        <f>'P3'!#REF!</f>
        <v>#REF!</v>
      </c>
      <c r="C42" t="e">
        <f>'P3'!#REF!</f>
        <v>#REF!</v>
      </c>
      <c r="D42" t="e">
        <f>'P3'!#REF!</f>
        <v>#REF!</v>
      </c>
      <c r="E42" t="e">
        <f>'P3'!#REF!</f>
        <v>#REF!</v>
      </c>
      <c r="F42" t="e">
        <f>'P3'!#REF!</f>
        <v>#REF!</v>
      </c>
      <c r="G42" t="e">
        <f>'P3'!#REF!</f>
        <v>#REF!</v>
      </c>
    </row>
    <row r="44" spans="1:9" x14ac:dyDescent="0.25">
      <c r="A44" s="15"/>
    </row>
    <row r="45" spans="1:9" x14ac:dyDescent="0.25">
      <c r="A45" s="15"/>
    </row>
    <row r="46" spans="1:9" x14ac:dyDescent="0.25">
      <c r="A46" s="15"/>
    </row>
    <row r="47" spans="1:9" x14ac:dyDescent="0.25">
      <c r="A47" s="15"/>
    </row>
    <row r="48" spans="1:9" x14ac:dyDescent="0.25">
      <c r="A48" s="15"/>
    </row>
    <row r="49" spans="1:1" x14ac:dyDescent="0.25">
      <c r="A49" s="15"/>
    </row>
    <row r="50" spans="1:1" x14ac:dyDescent="0.25">
      <c r="A50" s="1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8"/>
  <sheetViews>
    <sheetView workbookViewId="0">
      <selection activeCell="F20" sqref="F20"/>
    </sheetView>
  </sheetViews>
  <sheetFormatPr baseColWidth="10" defaultRowHeight="15" x14ac:dyDescent="0.25"/>
  <cols>
    <col min="2" max="2" width="11.7109375" customWidth="1"/>
    <col min="3" max="3" width="10" customWidth="1"/>
    <col min="4" max="4" width="9.140625" customWidth="1"/>
    <col min="5" max="5" width="11.28515625" customWidth="1"/>
    <col min="6" max="6" width="10.85546875" bestFit="1" customWidth="1"/>
    <col min="7" max="7" width="11.5703125" bestFit="1" customWidth="1"/>
    <col min="8" max="8" width="11" customWidth="1"/>
    <col min="9" max="9" width="9.85546875" customWidth="1"/>
    <col min="10" max="10" width="11.85546875" bestFit="1" customWidth="1"/>
    <col min="11" max="11" width="7.140625" customWidth="1"/>
    <col min="12" max="12" width="11.42578125" customWidth="1"/>
    <col min="14" max="14" width="3.140625" bestFit="1" customWidth="1"/>
  </cols>
  <sheetData>
    <row r="1" spans="1:34" s="11" customFormat="1" ht="6.75" customHeight="1" x14ac:dyDescent="0.25">
      <c r="A1" s="13"/>
      <c r="B1" s="13"/>
      <c r="C1" s="13"/>
      <c r="D1" s="13"/>
      <c r="F1" s="13"/>
      <c r="G1" s="13"/>
      <c r="H1" s="13"/>
      <c r="I1" s="13"/>
      <c r="J1" s="13"/>
      <c r="K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</row>
    <row r="2" spans="1:34" s="11" customFormat="1" ht="15" customHeight="1" x14ac:dyDescent="0.25">
      <c r="A2" s="13"/>
      <c r="B2" s="93" t="s">
        <v>32</v>
      </c>
      <c r="C2" s="93"/>
      <c r="D2" s="93"/>
      <c r="E2" s="93"/>
      <c r="F2" s="93"/>
      <c r="G2" s="93"/>
      <c r="H2" s="93"/>
      <c r="I2" s="93"/>
      <c r="J2" s="93"/>
      <c r="K2" s="18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13"/>
      <c r="AC2" s="13"/>
      <c r="AD2" s="13"/>
      <c r="AE2" s="13"/>
      <c r="AF2" s="13"/>
      <c r="AG2" s="13"/>
      <c r="AH2" s="13"/>
    </row>
    <row r="3" spans="1:34" s="11" customFormat="1" ht="15" customHeight="1" x14ac:dyDescent="0.25">
      <c r="A3" s="13"/>
      <c r="B3" s="93"/>
      <c r="C3" s="93"/>
      <c r="D3" s="93"/>
      <c r="E3" s="93"/>
      <c r="F3" s="93"/>
      <c r="G3" s="93"/>
      <c r="H3" s="93"/>
      <c r="I3" s="93"/>
      <c r="J3" s="93"/>
      <c r="K3" s="18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13"/>
      <c r="AC3" s="13"/>
      <c r="AD3" s="13"/>
      <c r="AE3" s="13"/>
      <c r="AF3" s="13"/>
      <c r="AG3" s="13"/>
      <c r="AH3" s="13"/>
    </row>
    <row r="4" spans="1:34" s="11" customFormat="1" ht="6.75" customHeight="1" x14ac:dyDescent="0.25">
      <c r="A4" s="13"/>
      <c r="B4" s="13"/>
      <c r="C4" s="13"/>
      <c r="D4" s="13"/>
      <c r="F4" s="13"/>
      <c r="G4" s="13"/>
      <c r="H4" s="13"/>
      <c r="I4" s="13"/>
      <c r="J4" s="13"/>
      <c r="K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</row>
    <row r="5" spans="1:34" s="11" customFormat="1" x14ac:dyDescent="0.25">
      <c r="A5" s="13"/>
      <c r="B5" s="72" t="s">
        <v>49</v>
      </c>
      <c r="C5" s="72"/>
      <c r="D5" s="94" t="s">
        <v>69</v>
      </c>
      <c r="E5" s="94"/>
      <c r="F5" s="94"/>
      <c r="G5" s="94"/>
      <c r="H5" s="94"/>
      <c r="I5" s="94"/>
      <c r="J5" s="94"/>
      <c r="K5" s="19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13"/>
      <c r="AC5" s="13"/>
      <c r="AD5" s="13"/>
      <c r="AE5" s="13"/>
      <c r="AF5" s="13"/>
      <c r="AG5" s="13"/>
      <c r="AH5" s="13"/>
    </row>
    <row r="6" spans="1:34" s="11" customFormat="1" x14ac:dyDescent="0.25">
      <c r="A6" s="13"/>
      <c r="B6" s="72" t="s">
        <v>50</v>
      </c>
      <c r="C6" s="72"/>
      <c r="D6" s="95" t="s">
        <v>67</v>
      </c>
      <c r="E6" s="96"/>
      <c r="F6" s="96"/>
      <c r="G6" s="96"/>
      <c r="H6" s="96"/>
      <c r="I6" s="96"/>
      <c r="J6" s="97"/>
      <c r="K6" s="20"/>
      <c r="L6" s="20"/>
      <c r="M6" s="20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13"/>
      <c r="AC6" s="13"/>
      <c r="AD6" s="13"/>
      <c r="AE6" s="13"/>
      <c r="AF6" s="13"/>
      <c r="AG6" s="13"/>
      <c r="AH6" s="13"/>
    </row>
    <row r="7" spans="1:34" s="11" customFormat="1" x14ac:dyDescent="0.25">
      <c r="A7" s="13"/>
      <c r="B7" s="72" t="s">
        <v>51</v>
      </c>
      <c r="C7" s="72"/>
      <c r="D7" s="73" t="s">
        <v>68</v>
      </c>
      <c r="E7" s="74"/>
      <c r="F7" s="74"/>
      <c r="G7" s="74"/>
      <c r="H7" s="74"/>
      <c r="I7" s="74"/>
      <c r="J7" s="75"/>
      <c r="K7" s="20"/>
      <c r="L7" s="20"/>
      <c r="M7" s="20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13"/>
      <c r="AC7" s="13"/>
      <c r="AD7" s="13"/>
      <c r="AE7" s="13"/>
      <c r="AF7" s="13"/>
      <c r="AG7" s="13"/>
      <c r="AH7" s="13"/>
    </row>
    <row r="8" spans="1:34" s="11" customFormat="1" ht="6.75" customHeight="1" x14ac:dyDescent="0.25">
      <c r="A8" s="13"/>
      <c r="B8" s="13"/>
      <c r="C8" s="13"/>
      <c r="D8" s="13"/>
      <c r="F8" s="13"/>
      <c r="G8" s="13"/>
      <c r="H8" s="13"/>
      <c r="I8" s="13"/>
      <c r="J8" s="13"/>
      <c r="K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</row>
    <row r="9" spans="1:34" s="21" customFormat="1" ht="36" x14ac:dyDescent="0.25">
      <c r="B9" s="22" t="s">
        <v>52</v>
      </c>
      <c r="C9" s="22" t="s">
        <v>53</v>
      </c>
      <c r="D9" s="22" t="s">
        <v>33</v>
      </c>
      <c r="E9" s="22" t="s">
        <v>54</v>
      </c>
      <c r="F9" s="22" t="s">
        <v>55</v>
      </c>
      <c r="G9" s="22" t="s">
        <v>56</v>
      </c>
      <c r="H9" s="22" t="s">
        <v>57</v>
      </c>
      <c r="I9" s="22" t="s">
        <v>34</v>
      </c>
      <c r="J9" s="76" t="s">
        <v>58</v>
      </c>
      <c r="K9" s="13"/>
    </row>
    <row r="10" spans="1:34" s="23" customFormat="1" ht="15.75" customHeight="1" x14ac:dyDescent="0.25">
      <c r="B10" s="24" t="s">
        <v>59</v>
      </c>
      <c r="C10" s="24" t="s">
        <v>61</v>
      </c>
      <c r="D10" s="24" t="s">
        <v>62</v>
      </c>
      <c r="E10" s="24" t="s">
        <v>60</v>
      </c>
      <c r="F10" s="24" t="s">
        <v>35</v>
      </c>
      <c r="G10" s="24" t="s">
        <v>36</v>
      </c>
      <c r="H10" s="25" t="s">
        <v>37</v>
      </c>
      <c r="I10" s="24" t="s">
        <v>63</v>
      </c>
      <c r="J10" s="77"/>
      <c r="K10" s="26"/>
    </row>
    <row r="11" spans="1:34" s="21" customFormat="1" ht="15.75" customHeight="1" x14ac:dyDescent="0.25">
      <c r="B11" s="87" t="s">
        <v>65</v>
      </c>
      <c r="C11" s="87" t="e">
        <f>E!K5</f>
        <v>#REF!</v>
      </c>
      <c r="D11" s="87" t="e">
        <f>E!L5</f>
        <v>#REF!</v>
      </c>
      <c r="E11" s="87" t="e">
        <f>E!M5</f>
        <v>#REF!</v>
      </c>
      <c r="F11" s="98" t="e">
        <f>(TAN((45-E11/2)*PI()/180))^2</f>
        <v>#REF!</v>
      </c>
      <c r="G11" s="98" t="e">
        <f>(TAN((45+E11/2)*PI()/180))^2</f>
        <v>#REF!</v>
      </c>
      <c r="H11" s="84">
        <v>0.35</v>
      </c>
      <c r="I11" s="87" t="e">
        <f>E!N5</f>
        <v>#REF!</v>
      </c>
      <c r="J11" s="90" t="e">
        <f>E!G5</f>
        <v>#REF!</v>
      </c>
      <c r="K11" s="13"/>
      <c r="L11" s="21" t="e">
        <f>C11*9.81</f>
        <v>#REF!</v>
      </c>
      <c r="M11" s="21" t="e">
        <f>D11*9.81</f>
        <v>#REF!</v>
      </c>
    </row>
    <row r="12" spans="1:34" s="21" customFormat="1" ht="15.75" customHeight="1" x14ac:dyDescent="0.25">
      <c r="B12" s="88"/>
      <c r="C12" s="88"/>
      <c r="D12" s="88"/>
      <c r="E12" s="88"/>
      <c r="F12" s="99"/>
      <c r="G12" s="99"/>
      <c r="H12" s="85"/>
      <c r="I12" s="88"/>
      <c r="J12" s="91"/>
      <c r="K12" s="13"/>
      <c r="L12" s="29" t="e">
        <f>(1-SIN(E11))</f>
        <v>#REF!</v>
      </c>
      <c r="M12" s="21">
        <f t="shared" ref="M12:M13" si="0">D12*9.81</f>
        <v>0</v>
      </c>
    </row>
    <row r="13" spans="1:34" s="21" customFormat="1" ht="15.75" customHeight="1" x14ac:dyDescent="0.25">
      <c r="B13" s="89"/>
      <c r="C13" s="89"/>
      <c r="D13" s="89"/>
      <c r="E13" s="89"/>
      <c r="F13" s="100"/>
      <c r="G13" s="100"/>
      <c r="H13" s="86"/>
      <c r="I13" s="89"/>
      <c r="J13" s="92"/>
      <c r="K13" s="13"/>
      <c r="L13" s="21">
        <f>C13*9.81</f>
        <v>0</v>
      </c>
      <c r="M13" s="21">
        <f t="shared" si="0"/>
        <v>0</v>
      </c>
    </row>
    <row r="14" spans="1:34" s="21" customFormat="1" ht="15.75" customHeight="1" x14ac:dyDescent="0.25">
      <c r="B14" s="78" t="s">
        <v>66</v>
      </c>
      <c r="C14" s="78" t="e">
        <f>E!K6</f>
        <v>#REF!</v>
      </c>
      <c r="D14" s="78" t="e">
        <f>E!L10</f>
        <v>#REF!</v>
      </c>
      <c r="E14" s="78" t="e">
        <f>E!M10</f>
        <v>#REF!</v>
      </c>
      <c r="F14" s="81" t="e">
        <f>(TAN((45-E14/2)*PI()/180))^2</f>
        <v>#REF!</v>
      </c>
      <c r="G14" s="81" t="e">
        <f>(TAN((45+E14/2)*PI()/180))^2</f>
        <v>#REF!</v>
      </c>
      <c r="H14" s="101">
        <v>0.33</v>
      </c>
      <c r="I14" s="78" t="e">
        <f>E!N6</f>
        <v>#REF!</v>
      </c>
      <c r="J14" s="104" t="e">
        <f>E!G6</f>
        <v>#REF!</v>
      </c>
      <c r="K14" s="13"/>
      <c r="L14" s="21" t="e">
        <f>C14*9.81</f>
        <v>#REF!</v>
      </c>
      <c r="M14" s="21" t="e">
        <f t="shared" ref="M14:M16" si="1">D14*9.81</f>
        <v>#REF!</v>
      </c>
    </row>
    <row r="15" spans="1:34" s="21" customFormat="1" ht="15.75" customHeight="1" x14ac:dyDescent="0.25">
      <c r="B15" s="79"/>
      <c r="C15" s="79"/>
      <c r="D15" s="79"/>
      <c r="E15" s="79"/>
      <c r="F15" s="82"/>
      <c r="G15" s="82"/>
      <c r="H15" s="102"/>
      <c r="I15" s="79"/>
      <c r="J15" s="105"/>
      <c r="K15" s="13"/>
      <c r="L15" s="29" t="e">
        <f>(1-SIN(E14))</f>
        <v>#REF!</v>
      </c>
      <c r="M15" s="21">
        <f>D15*9.81</f>
        <v>0</v>
      </c>
    </row>
    <row r="16" spans="1:34" s="21" customFormat="1" ht="15.75" customHeight="1" x14ac:dyDescent="0.25">
      <c r="B16" s="80"/>
      <c r="C16" s="80"/>
      <c r="D16" s="80"/>
      <c r="E16" s="80"/>
      <c r="F16" s="83"/>
      <c r="G16" s="83"/>
      <c r="H16" s="103"/>
      <c r="I16" s="80"/>
      <c r="J16" s="106"/>
      <c r="K16" s="13"/>
      <c r="L16" s="21">
        <f>C16*9.81</f>
        <v>0</v>
      </c>
      <c r="M16" s="21">
        <f t="shared" si="1"/>
        <v>0</v>
      </c>
    </row>
    <row r="17" spans="1:31" s="11" customFormat="1" ht="6.75" customHeight="1" x14ac:dyDescent="0.25">
      <c r="A17" s="13"/>
      <c r="B17" s="13"/>
      <c r="C17" s="13"/>
      <c r="D17" s="13"/>
      <c r="F17" s="13"/>
      <c r="G17" s="13"/>
      <c r="H17" s="13"/>
      <c r="I17" s="13"/>
      <c r="J17" s="13"/>
      <c r="K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</row>
    <row r="20" spans="1:31" ht="15" customHeight="1" x14ac:dyDescent="0.25"/>
    <row r="24" spans="1:31" ht="15" customHeight="1" x14ac:dyDescent="0.25"/>
    <row r="26" spans="1:31" ht="15" customHeight="1" x14ac:dyDescent="0.25"/>
    <row r="28" spans="1:31" ht="15" customHeight="1" x14ac:dyDescent="0.25"/>
  </sheetData>
  <mergeCells count="26">
    <mergeCell ref="F11:F13"/>
    <mergeCell ref="G11:G13"/>
    <mergeCell ref="H14:H16"/>
    <mergeCell ref="I14:I16"/>
    <mergeCell ref="J14:J16"/>
    <mergeCell ref="B2:J3"/>
    <mergeCell ref="B5:C5"/>
    <mergeCell ref="D5:J5"/>
    <mergeCell ref="B6:C6"/>
    <mergeCell ref="D6:J6"/>
    <mergeCell ref="B7:C7"/>
    <mergeCell ref="D7:J7"/>
    <mergeCell ref="J9:J10"/>
    <mergeCell ref="B14:B16"/>
    <mergeCell ref="C14:C16"/>
    <mergeCell ref="D14:D16"/>
    <mergeCell ref="E14:E16"/>
    <mergeCell ref="F14:F16"/>
    <mergeCell ref="H11:H13"/>
    <mergeCell ref="I11:I13"/>
    <mergeCell ref="J11:J13"/>
    <mergeCell ref="G14:G16"/>
    <mergeCell ref="B11:B13"/>
    <mergeCell ref="C11:C13"/>
    <mergeCell ref="D11:D13"/>
    <mergeCell ref="E11:E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P3</vt:lpstr>
      <vt:lpstr>E</vt:lpstr>
      <vt:lpstr>Parámetros</vt:lpstr>
      <vt:lpstr>'P3'!Área_de_impresión</vt:lpstr>
    </vt:vector>
  </TitlesOfParts>
  <Company>Familia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Gomez</dc:creator>
  <cp:lastModifiedBy>Paola Andrea Garcia Tangarife</cp:lastModifiedBy>
  <cp:lastPrinted>2025-10-31T04:57:46Z</cp:lastPrinted>
  <dcterms:created xsi:type="dcterms:W3CDTF">2010-03-28T21:22:08Z</dcterms:created>
  <dcterms:modified xsi:type="dcterms:W3CDTF">2026-05-25T21:52:03Z</dcterms:modified>
</cp:coreProperties>
</file>