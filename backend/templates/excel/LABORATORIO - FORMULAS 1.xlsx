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charts/chart13.xml" ContentType="application/vnd.openxmlformats-officedocument.drawingml.chart+xml"/>
  <Override PartName="/xl/drawings/drawing13.xml" ContentType="application/vnd.openxmlformats-officedocument.drawingml.chartshapes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SAN PEDRO 11 MAR JUAN CAMILO\"/>
    </mc:Choice>
  </mc:AlternateContent>
  <xr:revisionPtr revIDLastSave="0" documentId="13_ncr:1_{462582C6-D671-4525-A5B0-27687B4D8471}" xr6:coauthVersionLast="47" xr6:coauthVersionMax="47" xr10:uidLastSave="{00000000-0000-0000-0000-000000000000}"/>
  <bookViews>
    <workbookView xWindow="-120" yWindow="-120" windowWidth="20730" windowHeight="11040" tabRatio="833" xr2:uid="{00000000-000D-0000-FFFF-FFFF00000000}"/>
  </bookViews>
  <sheets>
    <sheet name="Clasificacion" sheetId="1" r:id="rId1"/>
    <sheet name="LA TAPA" sheetId="2" r:id="rId2"/>
    <sheet name="CLAVELLINO" sheetId="3" r:id="rId3"/>
    <sheet name="COCOARENAL" sheetId="4" r:id="rId4"/>
    <sheet name="Hoja13" sheetId="14" r:id="rId5"/>
    <sheet name="Hoja1" sheetId="15" r:id="rId6"/>
  </sheets>
  <definedNames>
    <definedName name="_xlnm.Print_Area" localSheetId="0">Clasificacion!$B$2:$N$61</definedName>
    <definedName name="BOVEDA">#REF!</definedName>
    <definedName name="Hoja">#REF!</definedName>
    <definedName name="Libro">#REF!</definedName>
    <definedName name="ruta">#REF!</definedName>
    <definedName name="serie1">"Gráfico 1"</definedName>
    <definedName name="ubicac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5" i="1" l="1"/>
  <c r="V26" i="15" l="1"/>
  <c r="E26" i="15"/>
  <c r="D26" i="15"/>
  <c r="C26" i="15"/>
  <c r="V25" i="15"/>
  <c r="M25" i="15"/>
  <c r="L25" i="15"/>
  <c r="K25" i="15"/>
  <c r="Q28" i="15" s="1"/>
  <c r="R28" i="15" s="1"/>
  <c r="F31" i="15" s="1"/>
  <c r="E25" i="15"/>
  <c r="D25" i="15"/>
  <c r="C25" i="15"/>
  <c r="V24" i="15"/>
  <c r="E24" i="15"/>
  <c r="D24" i="15"/>
  <c r="C24" i="15"/>
  <c r="E23" i="15"/>
  <c r="D23" i="15"/>
  <c r="C23" i="15"/>
  <c r="E22" i="15"/>
  <c r="D22" i="15"/>
  <c r="C22" i="15"/>
  <c r="E21" i="15"/>
  <c r="D21" i="15"/>
  <c r="E20" i="15"/>
  <c r="D20" i="15"/>
  <c r="E19" i="15"/>
  <c r="D19" i="15"/>
  <c r="M18" i="15"/>
  <c r="L18" i="15"/>
  <c r="R24" i="15" s="1"/>
  <c r="K18" i="15"/>
  <c r="E18" i="15"/>
  <c r="D18" i="15"/>
  <c r="E17" i="15"/>
  <c r="D17" i="15"/>
  <c r="E16" i="15"/>
  <c r="D16" i="15"/>
  <c r="E15" i="15"/>
  <c r="D15" i="15"/>
  <c r="D14" i="15"/>
  <c r="D13" i="15"/>
  <c r="W10" i="15"/>
  <c r="E13" i="15" s="1"/>
  <c r="V10" i="15"/>
  <c r="V11" i="15" s="1"/>
  <c r="V12" i="15" s="1"/>
  <c r="G10" i="15"/>
  <c r="E10" i="15"/>
  <c r="F25" i="15" s="1"/>
  <c r="S5" i="15"/>
  <c r="R5" i="15"/>
  <c r="F17" i="15" l="1"/>
  <c r="F15" i="15"/>
  <c r="F22" i="15"/>
  <c r="Q27" i="15"/>
  <c r="T12" i="15" s="1"/>
  <c r="T21" i="15" s="1"/>
  <c r="F21" i="15"/>
  <c r="F23" i="15"/>
  <c r="R25" i="15"/>
  <c r="F19" i="15"/>
  <c r="V13" i="15"/>
  <c r="F13" i="15"/>
  <c r="F16" i="15"/>
  <c r="F18" i="15"/>
  <c r="F20" i="15"/>
  <c r="F26" i="15"/>
  <c r="F24" i="15"/>
  <c r="V26" i="14"/>
  <c r="E26" i="14"/>
  <c r="D26" i="14"/>
  <c r="C26" i="14"/>
  <c r="V25" i="14"/>
  <c r="M25" i="14"/>
  <c r="L25" i="14"/>
  <c r="K25" i="14"/>
  <c r="Q28" i="14" s="1"/>
  <c r="R28" i="14" s="1"/>
  <c r="F31" i="14" s="1"/>
  <c r="E25" i="14"/>
  <c r="D25" i="14"/>
  <c r="C25" i="14"/>
  <c r="V24" i="14"/>
  <c r="E24" i="14"/>
  <c r="D24" i="14"/>
  <c r="C24" i="14"/>
  <c r="E23" i="14"/>
  <c r="D23" i="14"/>
  <c r="C23" i="14"/>
  <c r="E22" i="14"/>
  <c r="D22" i="14"/>
  <c r="C22" i="14"/>
  <c r="E21" i="14"/>
  <c r="D21" i="14"/>
  <c r="E20" i="14"/>
  <c r="D20" i="14"/>
  <c r="E19" i="14"/>
  <c r="D19" i="14"/>
  <c r="M18" i="14"/>
  <c r="L18" i="14"/>
  <c r="K18" i="14"/>
  <c r="R24" i="14" s="1"/>
  <c r="E18" i="14"/>
  <c r="D18" i="14"/>
  <c r="E17" i="14"/>
  <c r="D17" i="14"/>
  <c r="E16" i="14"/>
  <c r="D16" i="14"/>
  <c r="E15" i="14"/>
  <c r="D15" i="14"/>
  <c r="D14" i="14"/>
  <c r="D13" i="14"/>
  <c r="V11" i="14"/>
  <c r="V12" i="14" s="1"/>
  <c r="W10" i="14"/>
  <c r="E13" i="14" s="1"/>
  <c r="V10" i="14"/>
  <c r="G10" i="14"/>
  <c r="E10" i="14"/>
  <c r="F25" i="14" s="1"/>
  <c r="S5" i="14"/>
  <c r="R5" i="14"/>
  <c r="V26" i="4"/>
  <c r="E26" i="4"/>
  <c r="D26" i="4"/>
  <c r="C26" i="4"/>
  <c r="V25" i="4"/>
  <c r="M25" i="4"/>
  <c r="L25" i="4"/>
  <c r="K25" i="4"/>
  <c r="Q28" i="4" s="1"/>
  <c r="R28" i="4" s="1"/>
  <c r="F31" i="4" s="1"/>
  <c r="E25" i="4"/>
  <c r="D25" i="4"/>
  <c r="C25" i="4"/>
  <c r="V24" i="4"/>
  <c r="E24" i="4"/>
  <c r="D24" i="4"/>
  <c r="C24" i="4"/>
  <c r="E23" i="4"/>
  <c r="D23" i="4"/>
  <c r="C23" i="4"/>
  <c r="E22" i="4"/>
  <c r="D22" i="4"/>
  <c r="C22" i="4"/>
  <c r="E21" i="4"/>
  <c r="D21" i="4"/>
  <c r="E20" i="4"/>
  <c r="D20" i="4"/>
  <c r="E19" i="4"/>
  <c r="D19" i="4"/>
  <c r="M18" i="4"/>
  <c r="L18" i="4"/>
  <c r="K18" i="4"/>
  <c r="R24" i="4" s="1"/>
  <c r="E18" i="4"/>
  <c r="D18" i="4"/>
  <c r="E17" i="4"/>
  <c r="D17" i="4"/>
  <c r="E16" i="4"/>
  <c r="D16" i="4"/>
  <c r="E15" i="4"/>
  <c r="D15" i="4"/>
  <c r="D14" i="4"/>
  <c r="D13" i="4"/>
  <c r="W10" i="4"/>
  <c r="E13" i="4" s="1"/>
  <c r="V10" i="4"/>
  <c r="V11" i="4" s="1"/>
  <c r="G10" i="4"/>
  <c r="E10" i="4"/>
  <c r="S5" i="4"/>
  <c r="R5" i="4"/>
  <c r="V26" i="3"/>
  <c r="E26" i="3"/>
  <c r="D26" i="3"/>
  <c r="C26" i="3"/>
  <c r="V25" i="3"/>
  <c r="M25" i="3"/>
  <c r="L25" i="3"/>
  <c r="K25" i="3"/>
  <c r="Q28" i="3" s="1"/>
  <c r="R28" i="3" s="1"/>
  <c r="F31" i="3" s="1"/>
  <c r="E25" i="3"/>
  <c r="D25" i="3"/>
  <c r="C25" i="3"/>
  <c r="V24" i="3"/>
  <c r="E24" i="3"/>
  <c r="D24" i="3"/>
  <c r="C24" i="3"/>
  <c r="E23" i="3"/>
  <c r="D23" i="3"/>
  <c r="C23" i="3"/>
  <c r="E22" i="3"/>
  <c r="D22" i="3"/>
  <c r="C22" i="3"/>
  <c r="E21" i="3"/>
  <c r="D21" i="3"/>
  <c r="E20" i="3"/>
  <c r="D20" i="3"/>
  <c r="E19" i="3"/>
  <c r="D19" i="3"/>
  <c r="M18" i="3"/>
  <c r="L18" i="3"/>
  <c r="K18" i="3"/>
  <c r="R24" i="3" s="1"/>
  <c r="E18" i="3"/>
  <c r="D18" i="3"/>
  <c r="E17" i="3"/>
  <c r="D17" i="3"/>
  <c r="E16" i="3"/>
  <c r="D16" i="3"/>
  <c r="E15" i="3"/>
  <c r="D15" i="3"/>
  <c r="D14" i="3"/>
  <c r="D13" i="3"/>
  <c r="W10" i="3"/>
  <c r="E13" i="3" s="1"/>
  <c r="V10" i="3"/>
  <c r="V11" i="3" s="1"/>
  <c r="G10" i="3"/>
  <c r="E10" i="3"/>
  <c r="S5" i="3"/>
  <c r="R5" i="3"/>
  <c r="E26" i="2"/>
  <c r="D26" i="2"/>
  <c r="C26" i="2"/>
  <c r="M25" i="2"/>
  <c r="L25" i="2"/>
  <c r="K25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E20" i="2"/>
  <c r="D20" i="2"/>
  <c r="E19" i="2"/>
  <c r="D19" i="2"/>
  <c r="M18" i="2"/>
  <c r="L18" i="2"/>
  <c r="K18" i="2"/>
  <c r="R24" i="2" s="1"/>
  <c r="E18" i="2"/>
  <c r="D18" i="2"/>
  <c r="E17" i="2"/>
  <c r="D17" i="2"/>
  <c r="E16" i="2"/>
  <c r="D16" i="2"/>
  <c r="E15" i="2"/>
  <c r="D15" i="2"/>
  <c r="D14" i="2"/>
  <c r="D13" i="2"/>
  <c r="W10" i="2"/>
  <c r="E13" i="2" s="1"/>
  <c r="V10" i="2"/>
  <c r="V11" i="2" s="1"/>
  <c r="G10" i="2"/>
  <c r="E10" i="2"/>
  <c r="S5" i="2"/>
  <c r="R5" i="2"/>
  <c r="F25" i="4" l="1"/>
  <c r="R27" i="15"/>
  <c r="T17" i="15" s="1"/>
  <c r="T14" i="15"/>
  <c r="F25" i="3"/>
  <c r="F30" i="15"/>
  <c r="F27" i="15"/>
  <c r="G13" i="15"/>
  <c r="V14" i="15"/>
  <c r="F13" i="14"/>
  <c r="V13" i="14"/>
  <c r="F16" i="14"/>
  <c r="F18" i="14"/>
  <c r="F20" i="14"/>
  <c r="R25" i="14"/>
  <c r="Q27" i="14" s="1"/>
  <c r="F26" i="14"/>
  <c r="F15" i="14"/>
  <c r="F17" i="14"/>
  <c r="F19" i="14"/>
  <c r="F21" i="14"/>
  <c r="F22" i="14"/>
  <c r="F23" i="14"/>
  <c r="F24" i="14"/>
  <c r="V12" i="4"/>
  <c r="F16" i="4"/>
  <c r="F18" i="4"/>
  <c r="F20" i="4"/>
  <c r="R25" i="4"/>
  <c r="Q27" i="4" s="1"/>
  <c r="F26" i="4"/>
  <c r="F13" i="4"/>
  <c r="F15" i="4"/>
  <c r="F17" i="4"/>
  <c r="F19" i="4"/>
  <c r="F21" i="4"/>
  <c r="F22" i="4"/>
  <c r="F23" i="4"/>
  <c r="F24" i="4"/>
  <c r="V12" i="3"/>
  <c r="F16" i="3"/>
  <c r="F18" i="3"/>
  <c r="F20" i="3"/>
  <c r="R25" i="3"/>
  <c r="Q27" i="3" s="1"/>
  <c r="F26" i="3"/>
  <c r="F13" i="3"/>
  <c r="F15" i="3"/>
  <c r="F17" i="3"/>
  <c r="F19" i="3"/>
  <c r="F21" i="3"/>
  <c r="F22" i="3"/>
  <c r="F23" i="3"/>
  <c r="F24" i="3"/>
  <c r="Q28" i="2"/>
  <c r="R28" i="2" s="1"/>
  <c r="F31" i="2" s="1"/>
  <c r="F25" i="2"/>
  <c r="F24" i="2"/>
  <c r="F23" i="2"/>
  <c r="F22" i="2"/>
  <c r="F21" i="2"/>
  <c r="F19" i="2"/>
  <c r="F17" i="2"/>
  <c r="F15" i="2"/>
  <c r="F13" i="2"/>
  <c r="F20" i="2"/>
  <c r="F18" i="2"/>
  <c r="F26" i="2"/>
  <c r="F16" i="2"/>
  <c r="V12" i="2"/>
  <c r="R25" i="2"/>
  <c r="Q27" i="2" s="1"/>
  <c r="V26" i="1"/>
  <c r="E26" i="1"/>
  <c r="D26" i="1"/>
  <c r="C26" i="1"/>
  <c r="V25" i="1"/>
  <c r="L25" i="1"/>
  <c r="K25" i="1"/>
  <c r="E25" i="1"/>
  <c r="D25" i="1"/>
  <c r="C25" i="1"/>
  <c r="V24" i="1"/>
  <c r="E24" i="1"/>
  <c r="D24" i="1"/>
  <c r="C24" i="1"/>
  <c r="E23" i="1"/>
  <c r="D23" i="1"/>
  <c r="C23" i="1"/>
  <c r="E22" i="1"/>
  <c r="D22" i="1"/>
  <c r="C22" i="1"/>
  <c r="E21" i="1"/>
  <c r="D21" i="1"/>
  <c r="E20" i="1"/>
  <c r="D20" i="1"/>
  <c r="E19" i="1"/>
  <c r="D19" i="1"/>
  <c r="M18" i="1"/>
  <c r="L18" i="1"/>
  <c r="K18" i="1"/>
  <c r="E18" i="1"/>
  <c r="D18" i="1"/>
  <c r="E17" i="1"/>
  <c r="D17" i="1"/>
  <c r="E16" i="1"/>
  <c r="D16" i="1"/>
  <c r="E15" i="1"/>
  <c r="D15" i="1"/>
  <c r="D14" i="1"/>
  <c r="D13" i="1"/>
  <c r="W10" i="1"/>
  <c r="E13" i="1" s="1"/>
  <c r="V10" i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G10" i="1"/>
  <c r="S5" i="1"/>
  <c r="R5" i="1"/>
  <c r="E10" i="1"/>
  <c r="F32" i="15" l="1"/>
  <c r="T13" i="15" s="1"/>
  <c r="T22" i="15" s="1"/>
  <c r="Q28" i="1"/>
  <c r="R28" i="1" s="1"/>
  <c r="F31" i="1" s="1"/>
  <c r="V15" i="15"/>
  <c r="X10" i="15"/>
  <c r="R27" i="14"/>
  <c r="T14" i="14"/>
  <c r="T12" i="14"/>
  <c r="T21" i="14" s="1"/>
  <c r="V14" i="14"/>
  <c r="F27" i="14"/>
  <c r="G13" i="14"/>
  <c r="R27" i="4"/>
  <c r="T14" i="4"/>
  <c r="T12" i="4"/>
  <c r="T21" i="4" s="1"/>
  <c r="F27" i="4"/>
  <c r="G13" i="4"/>
  <c r="V13" i="4"/>
  <c r="R27" i="3"/>
  <c r="T14" i="3"/>
  <c r="T12" i="3"/>
  <c r="T21" i="3" s="1"/>
  <c r="F27" i="3"/>
  <c r="G13" i="3"/>
  <c r="V13" i="3"/>
  <c r="R27" i="2"/>
  <c r="T14" i="2"/>
  <c r="T12" i="2"/>
  <c r="T21" i="2" s="1"/>
  <c r="V13" i="2"/>
  <c r="G13" i="2"/>
  <c r="R25" i="1"/>
  <c r="R24" i="1"/>
  <c r="F26" i="1"/>
  <c r="F15" i="1"/>
  <c r="F23" i="1"/>
  <c r="F17" i="1"/>
  <c r="F20" i="1"/>
  <c r="F18" i="1"/>
  <c r="F22" i="1"/>
  <c r="F16" i="1"/>
  <c r="F19" i="1"/>
  <c r="F24" i="1"/>
  <c r="F25" i="1"/>
  <c r="F13" i="1"/>
  <c r="F21" i="1"/>
  <c r="Q27" i="1" l="1"/>
  <c r="F32" i="1" s="1"/>
  <c r="P10" i="15"/>
  <c r="W11" i="15"/>
  <c r="E14" i="15" s="1"/>
  <c r="V16" i="15"/>
  <c r="V15" i="14"/>
  <c r="X10" i="14"/>
  <c r="F32" i="14"/>
  <c r="T13" i="14" s="1"/>
  <c r="T22" i="14" s="1"/>
  <c r="F30" i="14"/>
  <c r="T17" i="14"/>
  <c r="V14" i="4"/>
  <c r="X10" i="4"/>
  <c r="F32" i="4"/>
  <c r="T13" i="4" s="1"/>
  <c r="T22" i="4" s="1"/>
  <c r="F30" i="4"/>
  <c r="T17" i="4"/>
  <c r="V14" i="3"/>
  <c r="X10" i="3"/>
  <c r="F32" i="3"/>
  <c r="T13" i="3" s="1"/>
  <c r="T22" i="3" s="1"/>
  <c r="F30" i="3"/>
  <c r="T17" i="3"/>
  <c r="X10" i="2"/>
  <c r="V14" i="2"/>
  <c r="F32" i="2"/>
  <c r="T13" i="2" s="1"/>
  <c r="T22" i="2" s="1"/>
  <c r="F30" i="2"/>
  <c r="T17" i="2"/>
  <c r="G13" i="1"/>
  <c r="R27" i="1" l="1"/>
  <c r="T17" i="1" s="1"/>
  <c r="T13" i="1"/>
  <c r="T22" i="1" s="1"/>
  <c r="T14" i="1"/>
  <c r="T12" i="1"/>
  <c r="T21" i="1" s="1"/>
  <c r="V17" i="15"/>
  <c r="E28" i="15"/>
  <c r="E27" i="15"/>
  <c r="F14" i="15"/>
  <c r="G14" i="15" s="1"/>
  <c r="P10" i="14"/>
  <c r="W11" i="14"/>
  <c r="E14" i="14" s="1"/>
  <c r="V16" i="14"/>
  <c r="P10" i="4"/>
  <c r="W11" i="4"/>
  <c r="E14" i="4" s="1"/>
  <c r="V15" i="4"/>
  <c r="P10" i="3"/>
  <c r="W11" i="3"/>
  <c r="E14" i="3" s="1"/>
  <c r="V15" i="3"/>
  <c r="V15" i="2"/>
  <c r="P10" i="2"/>
  <c r="W11" i="2"/>
  <c r="E14" i="2" s="1"/>
  <c r="X10" i="1"/>
  <c r="F30" i="1" l="1"/>
  <c r="X11" i="15"/>
  <c r="G15" i="15"/>
  <c r="V18" i="15"/>
  <c r="V17" i="14"/>
  <c r="E28" i="14"/>
  <c r="F14" i="14"/>
  <c r="G14" i="14" s="1"/>
  <c r="E27" i="14"/>
  <c r="V16" i="4"/>
  <c r="F14" i="4"/>
  <c r="G14" i="4" s="1"/>
  <c r="E28" i="4"/>
  <c r="E27" i="4"/>
  <c r="V16" i="3"/>
  <c r="E27" i="3"/>
  <c r="E28" i="3"/>
  <c r="F14" i="3"/>
  <c r="G14" i="3" s="1"/>
  <c r="F14" i="2"/>
  <c r="E27" i="2"/>
  <c r="E28" i="2" s="1"/>
  <c r="V16" i="2"/>
  <c r="W11" i="1"/>
  <c r="E14" i="1" s="1"/>
  <c r="P10" i="1"/>
  <c r="G16" i="15" l="1"/>
  <c r="X12" i="15"/>
  <c r="V19" i="15"/>
  <c r="P11" i="15"/>
  <c r="W12" i="15"/>
  <c r="X11" i="14"/>
  <c r="G15" i="14"/>
  <c r="V18" i="14"/>
  <c r="X11" i="4"/>
  <c r="G15" i="4"/>
  <c r="V17" i="4"/>
  <c r="X11" i="3"/>
  <c r="G15" i="3"/>
  <c r="V17" i="3"/>
  <c r="V17" i="2"/>
  <c r="F27" i="2"/>
  <c r="G14" i="2"/>
  <c r="E27" i="1"/>
  <c r="E28" i="1" s="1"/>
  <c r="F14" i="1"/>
  <c r="F27" i="1" s="1"/>
  <c r="P12" i="15" l="1"/>
  <c r="W13" i="15"/>
  <c r="V20" i="15"/>
  <c r="X13" i="15"/>
  <c r="G17" i="15"/>
  <c r="G16" i="14"/>
  <c r="X12" i="14"/>
  <c r="V19" i="14"/>
  <c r="P11" i="14"/>
  <c r="W12" i="14"/>
  <c r="V18" i="4"/>
  <c r="G16" i="4"/>
  <c r="X12" i="4"/>
  <c r="P11" i="4"/>
  <c r="W12" i="4"/>
  <c r="V18" i="3"/>
  <c r="G16" i="3"/>
  <c r="X12" i="3"/>
  <c r="P11" i="3"/>
  <c r="W12" i="3"/>
  <c r="X11" i="2"/>
  <c r="G15" i="2"/>
  <c r="V18" i="2"/>
  <c r="G14" i="1"/>
  <c r="G15" i="1" s="1"/>
  <c r="G18" i="15" l="1"/>
  <c r="X14" i="15"/>
  <c r="P13" i="15"/>
  <c r="W14" i="15"/>
  <c r="V21" i="15"/>
  <c r="P12" i="14"/>
  <c r="W13" i="14"/>
  <c r="V20" i="14"/>
  <c r="X13" i="14"/>
  <c r="G17" i="14"/>
  <c r="P12" i="4"/>
  <c r="W13" i="4"/>
  <c r="X13" i="4"/>
  <c r="G17" i="4"/>
  <c r="V19" i="4"/>
  <c r="P12" i="3"/>
  <c r="W13" i="3"/>
  <c r="X13" i="3"/>
  <c r="G17" i="3"/>
  <c r="V19" i="3"/>
  <c r="V19" i="2"/>
  <c r="G16" i="2"/>
  <c r="X12" i="2"/>
  <c r="P11" i="2"/>
  <c r="W12" i="2"/>
  <c r="X11" i="1"/>
  <c r="W12" i="1" s="1"/>
  <c r="X12" i="1"/>
  <c r="G16" i="1"/>
  <c r="V22" i="15" l="1"/>
  <c r="P14" i="15"/>
  <c r="W15" i="15"/>
  <c r="X15" i="15"/>
  <c r="G19" i="15"/>
  <c r="G18" i="14"/>
  <c r="X14" i="14"/>
  <c r="P13" i="14"/>
  <c r="W14" i="14"/>
  <c r="V21" i="14"/>
  <c r="V20" i="4"/>
  <c r="G18" i="4"/>
  <c r="X14" i="4"/>
  <c r="P13" i="4"/>
  <c r="W14" i="4"/>
  <c r="V20" i="3"/>
  <c r="G18" i="3"/>
  <c r="X14" i="3"/>
  <c r="P13" i="3"/>
  <c r="W14" i="3"/>
  <c r="X13" i="2"/>
  <c r="G17" i="2"/>
  <c r="P12" i="2"/>
  <c r="W13" i="2"/>
  <c r="V20" i="2"/>
  <c r="V21" i="2" s="1"/>
  <c r="V22" i="2" s="1"/>
  <c r="V23" i="2" s="1"/>
  <c r="V24" i="2" s="1"/>
  <c r="V25" i="2" s="1"/>
  <c r="V26" i="2" s="1"/>
  <c r="P11" i="1"/>
  <c r="X13" i="1"/>
  <c r="G17" i="1"/>
  <c r="W13" i="1"/>
  <c r="P12" i="1"/>
  <c r="X16" i="15" l="1"/>
  <c r="G20" i="15"/>
  <c r="V23" i="15"/>
  <c r="P15" i="15"/>
  <c r="W16" i="15"/>
  <c r="V22" i="14"/>
  <c r="P14" i="14"/>
  <c r="W15" i="14"/>
  <c r="X15" i="14"/>
  <c r="G19" i="14"/>
  <c r="X15" i="4"/>
  <c r="G19" i="4"/>
  <c r="P14" i="4"/>
  <c r="W15" i="4"/>
  <c r="V21" i="4"/>
  <c r="X15" i="3"/>
  <c r="G19" i="3"/>
  <c r="P14" i="3"/>
  <c r="W15" i="3"/>
  <c r="V21" i="3"/>
  <c r="G18" i="2"/>
  <c r="X14" i="2"/>
  <c r="P13" i="2"/>
  <c r="W14" i="2"/>
  <c r="X14" i="1"/>
  <c r="G18" i="1"/>
  <c r="W14" i="1"/>
  <c r="P13" i="1"/>
  <c r="G21" i="15" l="1"/>
  <c r="X17" i="15"/>
  <c r="P16" i="15"/>
  <c r="W17" i="15"/>
  <c r="G20" i="14"/>
  <c r="X16" i="14"/>
  <c r="P15" i="14"/>
  <c r="W16" i="14"/>
  <c r="V23" i="14"/>
  <c r="G20" i="4"/>
  <c r="X16" i="4"/>
  <c r="V22" i="4"/>
  <c r="P15" i="4"/>
  <c r="W16" i="4"/>
  <c r="V22" i="3"/>
  <c r="G20" i="3"/>
  <c r="X16" i="3"/>
  <c r="P15" i="3"/>
  <c r="W16" i="3"/>
  <c r="P14" i="2"/>
  <c r="W15" i="2"/>
  <c r="X15" i="2"/>
  <c r="G19" i="2"/>
  <c r="G19" i="1"/>
  <c r="X15" i="1"/>
  <c r="P14" i="1"/>
  <c r="W15" i="1"/>
  <c r="P17" i="15" l="1"/>
  <c r="W18" i="15"/>
  <c r="G22" i="15"/>
  <c r="X18" i="15"/>
  <c r="P16" i="14"/>
  <c r="W17" i="14"/>
  <c r="X17" i="14"/>
  <c r="G21" i="14"/>
  <c r="P16" i="4"/>
  <c r="W17" i="4"/>
  <c r="V23" i="4"/>
  <c r="X17" i="4"/>
  <c r="G21" i="4"/>
  <c r="X17" i="3"/>
  <c r="G21" i="3"/>
  <c r="P16" i="3"/>
  <c r="W17" i="3"/>
  <c r="V23" i="3"/>
  <c r="G20" i="2"/>
  <c r="X16" i="2"/>
  <c r="P15" i="2"/>
  <c r="W16" i="2"/>
  <c r="W16" i="1"/>
  <c r="P15" i="1"/>
  <c r="X16" i="1"/>
  <c r="G20" i="1"/>
  <c r="P18" i="15" l="1"/>
  <c r="T15" i="15"/>
  <c r="T16" i="15"/>
  <c r="W19" i="15"/>
  <c r="G23" i="15"/>
  <c r="X19" i="15"/>
  <c r="P17" i="14"/>
  <c r="W18" i="14"/>
  <c r="G22" i="14"/>
  <c r="X18" i="14"/>
  <c r="P17" i="4"/>
  <c r="W18" i="4"/>
  <c r="G22" i="4"/>
  <c r="X18" i="4"/>
  <c r="G22" i="3"/>
  <c r="X18" i="3"/>
  <c r="P17" i="3"/>
  <c r="W18" i="3"/>
  <c r="P16" i="2"/>
  <c r="W17" i="2"/>
  <c r="X17" i="2"/>
  <c r="G21" i="2"/>
  <c r="G21" i="1"/>
  <c r="X17" i="1"/>
  <c r="W17" i="1"/>
  <c r="P16" i="1"/>
  <c r="P19" i="15" l="1"/>
  <c r="W20" i="15"/>
  <c r="G24" i="15"/>
  <c r="X20" i="15"/>
  <c r="X19" i="14"/>
  <c r="G23" i="14"/>
  <c r="P18" i="14"/>
  <c r="T16" i="14"/>
  <c r="T15" i="14"/>
  <c r="W19" i="14"/>
  <c r="P18" i="4"/>
  <c r="T16" i="4"/>
  <c r="T15" i="4"/>
  <c r="W19" i="4"/>
  <c r="X19" i="4"/>
  <c r="G23" i="4"/>
  <c r="X19" i="3"/>
  <c r="G23" i="3"/>
  <c r="P18" i="3"/>
  <c r="T16" i="3"/>
  <c r="T15" i="3"/>
  <c r="W19" i="3"/>
  <c r="P17" i="2"/>
  <c r="W18" i="2"/>
  <c r="X18" i="2"/>
  <c r="G22" i="2"/>
  <c r="W18" i="1"/>
  <c r="P17" i="1"/>
  <c r="X18" i="1"/>
  <c r="G22" i="1"/>
  <c r="X21" i="15" l="1"/>
  <c r="G25" i="15"/>
  <c r="P20" i="15"/>
  <c r="W21" i="15"/>
  <c r="P19" i="14"/>
  <c r="W20" i="14"/>
  <c r="G24" i="14"/>
  <c r="X20" i="14"/>
  <c r="G24" i="4"/>
  <c r="X20" i="4"/>
  <c r="P19" i="4"/>
  <c r="W20" i="4"/>
  <c r="G24" i="3"/>
  <c r="X20" i="3"/>
  <c r="P19" i="3"/>
  <c r="W20" i="3"/>
  <c r="P18" i="2"/>
  <c r="T15" i="2"/>
  <c r="W19" i="2"/>
  <c r="X19" i="2"/>
  <c r="G23" i="2"/>
  <c r="G23" i="1"/>
  <c r="X19" i="1"/>
  <c r="W19" i="1"/>
  <c r="P18" i="1"/>
  <c r="T15" i="1"/>
  <c r="G26" i="15" l="1"/>
  <c r="X23" i="15" s="1"/>
  <c r="X22" i="15"/>
  <c r="P21" i="15"/>
  <c r="W22" i="15"/>
  <c r="X21" i="14"/>
  <c r="G25" i="14"/>
  <c r="P20" i="14"/>
  <c r="W21" i="14"/>
  <c r="P20" i="4"/>
  <c r="W21" i="4"/>
  <c r="X21" i="4"/>
  <c r="G25" i="4"/>
  <c r="P20" i="3"/>
  <c r="W21" i="3"/>
  <c r="X21" i="3"/>
  <c r="G25" i="3"/>
  <c r="P19" i="2"/>
  <c r="W20" i="2"/>
  <c r="G24" i="2"/>
  <c r="X20" i="2"/>
  <c r="P19" i="1"/>
  <c r="W20" i="1"/>
  <c r="G24" i="1"/>
  <c r="X20" i="1"/>
  <c r="T10" i="15" l="1"/>
  <c r="T19" i="15" s="1"/>
  <c r="T11" i="15"/>
  <c r="T20" i="15" s="1"/>
  <c r="P23" i="15"/>
  <c r="P22" i="15"/>
  <c r="W23" i="15"/>
  <c r="T24" i="15"/>
  <c r="I33" i="15" s="1"/>
  <c r="T23" i="15"/>
  <c r="I35" i="15" s="1"/>
  <c r="T25" i="15"/>
  <c r="I31" i="15" s="1"/>
  <c r="P21" i="14"/>
  <c r="W22" i="14"/>
  <c r="G26" i="14"/>
  <c r="X23" i="14" s="1"/>
  <c r="X22" i="14"/>
  <c r="T24" i="14" s="1"/>
  <c r="I33" i="14" s="1"/>
  <c r="P21" i="4"/>
  <c r="W22" i="4"/>
  <c r="G26" i="4"/>
  <c r="X23" i="4" s="1"/>
  <c r="X22" i="4"/>
  <c r="T23" i="4" s="1"/>
  <c r="I35" i="4" s="1"/>
  <c r="G26" i="3"/>
  <c r="X23" i="3" s="1"/>
  <c r="X22" i="3"/>
  <c r="T23" i="3" s="1"/>
  <c r="I35" i="3" s="1"/>
  <c r="P21" i="3"/>
  <c r="W22" i="3"/>
  <c r="X21" i="2"/>
  <c r="G25" i="2"/>
  <c r="P20" i="2"/>
  <c r="W21" i="2"/>
  <c r="W21" i="1"/>
  <c r="P20" i="1"/>
  <c r="G25" i="1"/>
  <c r="G26" i="1" s="1"/>
  <c r="X21" i="1"/>
  <c r="T25" i="3" l="1"/>
  <c r="I31" i="3" s="1"/>
  <c r="I29" i="15"/>
  <c r="I27" i="15"/>
  <c r="S27" i="15" s="1"/>
  <c r="F33" i="15"/>
  <c r="G31" i="15" s="1"/>
  <c r="P23" i="14"/>
  <c r="T10" i="14"/>
  <c r="T19" i="14" s="1"/>
  <c r="T11" i="14"/>
  <c r="T20" i="14" s="1"/>
  <c r="P22" i="14"/>
  <c r="W23" i="14"/>
  <c r="T23" i="14"/>
  <c r="I35" i="14" s="1"/>
  <c r="T25" i="14"/>
  <c r="I31" i="14" s="1"/>
  <c r="P22" i="4"/>
  <c r="W23" i="4"/>
  <c r="T24" i="4"/>
  <c r="I33" i="4" s="1"/>
  <c r="T25" i="4"/>
  <c r="I31" i="4" s="1"/>
  <c r="I27" i="4" s="1"/>
  <c r="P23" i="4"/>
  <c r="T10" i="4"/>
  <c r="T19" i="4" s="1"/>
  <c r="T11" i="4"/>
  <c r="T20" i="4" s="1"/>
  <c r="P22" i="3"/>
  <c r="W23" i="3"/>
  <c r="T24" i="3"/>
  <c r="I33" i="3" s="1"/>
  <c r="I29" i="3" s="1"/>
  <c r="I27" i="3"/>
  <c r="P23" i="3"/>
  <c r="T10" i="3"/>
  <c r="T19" i="3" s="1"/>
  <c r="T11" i="3"/>
  <c r="T20" i="3" s="1"/>
  <c r="G26" i="2"/>
  <c r="X23" i="2" s="1"/>
  <c r="X22" i="2"/>
  <c r="P21" i="2"/>
  <c r="W22" i="2"/>
  <c r="X23" i="1"/>
  <c r="T16" i="1" s="1"/>
  <c r="X22" i="1"/>
  <c r="P21" i="1"/>
  <c r="W22" i="1"/>
  <c r="T23" i="2" l="1"/>
  <c r="I35" i="2" s="1"/>
  <c r="G33" i="15"/>
  <c r="S29" i="15"/>
  <c r="S28" i="15"/>
  <c r="F33" i="14"/>
  <c r="G31" i="14" s="1"/>
  <c r="I29" i="14"/>
  <c r="I27" i="14"/>
  <c r="S27" i="14" s="1"/>
  <c r="I29" i="4"/>
  <c r="S27" i="4" s="1"/>
  <c r="S29" i="4" s="1"/>
  <c r="F33" i="4"/>
  <c r="G31" i="4" s="1"/>
  <c r="S27" i="3"/>
  <c r="F33" i="3"/>
  <c r="G31" i="3" s="1"/>
  <c r="P22" i="2"/>
  <c r="W23" i="2"/>
  <c r="T24" i="2"/>
  <c r="I33" i="2" s="1"/>
  <c r="T25" i="2"/>
  <c r="I31" i="2" s="1"/>
  <c r="P23" i="2"/>
  <c r="T10" i="2"/>
  <c r="T19" i="2" s="1"/>
  <c r="T11" i="2"/>
  <c r="T20" i="2" s="1"/>
  <c r="T16" i="2"/>
  <c r="T25" i="1"/>
  <c r="I31" i="1" s="1"/>
  <c r="P22" i="1"/>
  <c r="W23" i="1"/>
  <c r="T23" i="1"/>
  <c r="I35" i="1" s="1"/>
  <c r="T24" i="1"/>
  <c r="I33" i="1" s="1"/>
  <c r="P23" i="1"/>
  <c r="T10" i="1"/>
  <c r="T19" i="1" s="1"/>
  <c r="T11" i="1"/>
  <c r="T20" i="1" s="1"/>
  <c r="I27" i="2" l="1"/>
  <c r="G33" i="4"/>
  <c r="S28" i="4"/>
  <c r="G33" i="14"/>
  <c r="S29" i="14"/>
  <c r="S28" i="14"/>
  <c r="G33" i="3"/>
  <c r="S29" i="3"/>
  <c r="S28" i="3"/>
  <c r="I29" i="2"/>
  <c r="S27" i="2" s="1"/>
  <c r="F33" i="2"/>
  <c r="G31" i="2" s="1"/>
  <c r="I27" i="1"/>
  <c r="I29" i="1"/>
  <c r="F33" i="1"/>
  <c r="G31" i="1" s="1"/>
  <c r="G33" i="2" l="1"/>
  <c r="S29" i="2"/>
  <c r="S28" i="2"/>
  <c r="S27" i="1"/>
  <c r="G33" i="1" s="1"/>
  <c r="S29" i="1" l="1"/>
  <c r="S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0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0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0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0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0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0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0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0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1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1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1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1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1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1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1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1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2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2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2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2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2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2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2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2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3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3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3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3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3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3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3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3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4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4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4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4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4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4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4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4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5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5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5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5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5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5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5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5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sharedStrings.xml><?xml version="1.0" encoding="utf-8"?>
<sst xmlns="http://schemas.openxmlformats.org/spreadsheetml/2006/main" count="819" uniqueCount="143">
  <si>
    <t xml:space="preserve"> </t>
  </si>
  <si>
    <t xml:space="preserve">PROYECTO :                 </t>
  </si>
  <si>
    <t>FECHA:</t>
  </si>
  <si>
    <t>APIQUE:</t>
  </si>
  <si>
    <t xml:space="preserve"> LABORATORIO  DE MATERIALES</t>
  </si>
  <si>
    <t>MUESTRA N°</t>
  </si>
  <si>
    <t>Fecha Muestra</t>
  </si>
  <si>
    <t>FECHA</t>
  </si>
  <si>
    <t>CLIENTE:</t>
  </si>
  <si>
    <t>Muestra N°</t>
  </si>
  <si>
    <t>DESCRIPCION:</t>
  </si>
  <si>
    <t>Peso Inicial</t>
  </si>
  <si>
    <t>C L A S I F I C A C I O N    D E    S U E L O S  (U.S.C - AASHTO)</t>
  </si>
  <si>
    <t>,</t>
  </si>
  <si>
    <t>ABERT.</t>
  </si>
  <si>
    <t>DATO</t>
  </si>
  <si>
    <t>R. ACUM</t>
  </si>
  <si>
    <t>MALLA</t>
  </si>
  <si>
    <t>PESO</t>
  </si>
  <si>
    <t>INICIAL</t>
  </si>
  <si>
    <t>FINAL</t>
  </si>
  <si>
    <t>L I M I T E   L I Q U I D O</t>
  </si>
  <si>
    <t>3"</t>
  </si>
  <si>
    <t>Nd</t>
  </si>
  <si>
    <t xml:space="preserve">TAMIZ </t>
  </si>
  <si>
    <t>PESO. RET INDI</t>
  </si>
  <si>
    <t>% RET. INDIV.</t>
  </si>
  <si>
    <t>% QUE PASA</t>
  </si>
  <si>
    <t>E N S A Y O   N°</t>
  </si>
  <si>
    <t>2-1/2"</t>
  </si>
  <si>
    <t>Pulg</t>
  </si>
  <si>
    <t>mm</t>
  </si>
  <si>
    <t>2"</t>
  </si>
  <si>
    <t>Lc</t>
  </si>
  <si>
    <t>X7</t>
  </si>
  <si>
    <t>TARA N°</t>
  </si>
  <si>
    <t>1-1/2"</t>
  </si>
  <si>
    <t>Id</t>
  </si>
  <si>
    <t>X8</t>
  </si>
  <si>
    <t>N° DE GOLPES</t>
  </si>
  <si>
    <t>LL-30</t>
  </si>
  <si>
    <t>PESO SUELO+TARA HUMEDO</t>
  </si>
  <si>
    <t>3/4"</t>
  </si>
  <si>
    <t>CA</t>
  </si>
  <si>
    <t>X10</t>
  </si>
  <si>
    <t>PESO SUELO+TARA SECO</t>
  </si>
  <si>
    <t>1/2"</t>
  </si>
  <si>
    <t>AR</t>
  </si>
  <si>
    <t>X11</t>
  </si>
  <si>
    <t>1"</t>
  </si>
  <si>
    <t xml:space="preserve">PESO TARA </t>
  </si>
  <si>
    <t>3/8"</t>
  </si>
  <si>
    <t>K</t>
  </si>
  <si>
    <t>X12</t>
  </si>
  <si>
    <t>% DE HUMEDAD</t>
  </si>
  <si>
    <t>N°4</t>
  </si>
  <si>
    <t>L I M I T E    P L A S T I C O</t>
  </si>
  <si>
    <t>% Humedad Natural</t>
  </si>
  <si>
    <t>N°10</t>
  </si>
  <si>
    <t>a</t>
  </si>
  <si>
    <t>X14</t>
  </si>
  <si>
    <t>N°20</t>
  </si>
  <si>
    <t>b</t>
  </si>
  <si>
    <t>X15</t>
  </si>
  <si>
    <t>N°40</t>
  </si>
  <si>
    <t>c</t>
  </si>
  <si>
    <t>N°80</t>
  </si>
  <si>
    <t>d</t>
  </si>
  <si>
    <t>N°200</t>
  </si>
  <si>
    <t>D60</t>
  </si>
  <si>
    <t>I</t>
  </si>
  <si>
    <t>D30</t>
  </si>
  <si>
    <t>X19</t>
  </si>
  <si>
    <t>OLOR ORGANICO</t>
  </si>
  <si>
    <t>D10</t>
  </si>
  <si>
    <t>X20</t>
  </si>
  <si>
    <t>CU</t>
  </si>
  <si>
    <t>U.S.C</t>
  </si>
  <si>
    <t>Pasan</t>
  </si>
  <si>
    <t>LIMITE LIQUIDO</t>
  </si>
  <si>
    <t xml:space="preserve">   Totales =</t>
  </si>
  <si>
    <t>CC</t>
  </si>
  <si>
    <t>LIMITE PLASTICO</t>
  </si>
  <si>
    <t>C L A S I F I  C A C I O N</t>
  </si>
  <si>
    <t>AASHTO</t>
  </si>
  <si>
    <t>D 10</t>
  </si>
  <si>
    <t>INDICE DE  PLASTICIDAD</t>
  </si>
  <si>
    <t>U.S.C.S</t>
  </si>
  <si>
    <t>D 30</t>
  </si>
  <si>
    <t>INDICE   DE  GRUPO</t>
  </si>
  <si>
    <t xml:space="preserve"> O B S E R V A C I O N E S :</t>
  </si>
  <si>
    <t>D 60</t>
  </si>
  <si>
    <t>LABORATORIO</t>
  </si>
  <si>
    <t>RESPONSABLE :</t>
  </si>
  <si>
    <t>Elaborado por: STEVEN</t>
  </si>
  <si>
    <t>Aprobado por: EMM</t>
  </si>
  <si>
    <t>LIMO ARENOSO  ROJIZO Y AMARILLO</t>
  </si>
  <si>
    <t>|</t>
  </si>
  <si>
    <t>LA TAPA ESCONDIDA</t>
  </si>
  <si>
    <t>44.1</t>
  </si>
  <si>
    <t>35.6</t>
  </si>
  <si>
    <t>11.7</t>
  </si>
  <si>
    <t>11.1</t>
  </si>
  <si>
    <t>9.5</t>
  </si>
  <si>
    <t>31.9</t>
  </si>
  <si>
    <t>26.3</t>
  </si>
  <si>
    <t>33.3</t>
  </si>
  <si>
    <t>28.8</t>
  </si>
  <si>
    <t>21.7</t>
  </si>
  <si>
    <t>38.4</t>
  </si>
  <si>
    <t>32.3</t>
  </si>
  <si>
    <t>23.1</t>
  </si>
  <si>
    <t>26.8</t>
  </si>
  <si>
    <t>25.9</t>
  </si>
  <si>
    <t>24.1</t>
  </si>
  <si>
    <t>CLAVELLINO</t>
  </si>
  <si>
    <t>56.5</t>
  </si>
  <si>
    <t>42.4</t>
  </si>
  <si>
    <t>28.7</t>
  </si>
  <si>
    <t>20.6</t>
  </si>
  <si>
    <t>10.1</t>
  </si>
  <si>
    <t>37.5</t>
  </si>
  <si>
    <t>22.6</t>
  </si>
  <si>
    <t>57.8</t>
  </si>
  <si>
    <t>40.7</t>
  </si>
  <si>
    <t>COCO ARENAL</t>
  </si>
  <si>
    <t>39.8</t>
  </si>
  <si>
    <t>26.5</t>
  </si>
  <si>
    <t>21.6</t>
  </si>
  <si>
    <t>9.6</t>
  </si>
  <si>
    <t>BOGOTA</t>
  </si>
  <si>
    <t>57.2</t>
  </si>
  <si>
    <t>45.6</t>
  </si>
  <si>
    <t>JAGUAL</t>
  </si>
  <si>
    <t>68.8</t>
  </si>
  <si>
    <t>55.9</t>
  </si>
  <si>
    <t>23.2</t>
  </si>
  <si>
    <t>15.7</t>
  </si>
  <si>
    <t xml:space="preserve">Elaborado por: AMM </t>
  </si>
  <si>
    <t>EM GEOTECNIA</t>
  </si>
  <si>
    <t>CLAUDIA MARÍA HERNÁNDEZ GÓMEZ</t>
  </si>
  <si>
    <t>CASA CAMPESTRE DE 2 NIVELES PARCELACIÓN EL LEÓN LOTE 17 SAN PEDRO - ANTIOQUIA.</t>
  </si>
  <si>
    <t>LIMO ARENOSO NARANJA CON VETAS ROJIZAS DE ORIGEN RESIDUAL DE ROCA.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</si>
</sst>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\ yyyy"/>
    <numFmt numFmtId="165" formatCode="0.0"/>
    <numFmt numFmtId="166" formatCode="0.000"/>
    <numFmt numFmtId="167" formatCode="0.0000000000000000000000000"/>
  </numFmts>
  <fonts count="35" x14ac:knownFonts="1">
    <font>
      <sz val="10"/>
      <name val="Arial"/>
    </font>
    <font>
      <sz val="10"/>
      <name val="Arial"/>
      <family val="2"/>
    </font>
    <font>
      <u/>
      <sz val="18"/>
      <color indexed="62"/>
      <name val="Arial Narrow"/>
      <family val="2"/>
    </font>
    <font>
      <sz val="12"/>
      <name val="Tahoma"/>
      <family val="2"/>
    </font>
    <font>
      <sz val="10"/>
      <name val="Tahoma"/>
      <family val="2"/>
    </font>
    <font>
      <sz val="11"/>
      <name val="Tahoma"/>
      <family val="2"/>
    </font>
    <font>
      <sz val="16"/>
      <name val="Arial"/>
      <family val="2"/>
    </font>
    <font>
      <sz val="9"/>
      <name val="Tahoma"/>
      <family val="2"/>
    </font>
    <font>
      <sz val="8"/>
      <name val="Tahoma"/>
      <family val="2"/>
    </font>
    <font>
      <sz val="9"/>
      <name val="Arial"/>
      <family val="2"/>
    </font>
    <font>
      <sz val="11"/>
      <name val="Arial"/>
      <family val="2"/>
    </font>
    <font>
      <sz val="8"/>
      <name val="Arial"/>
      <family val="2"/>
    </font>
    <font>
      <u/>
      <sz val="12"/>
      <name val="Arial"/>
      <family val="2"/>
    </font>
    <font>
      <sz val="14"/>
      <name val="Arial"/>
      <family val="2"/>
    </font>
    <font>
      <sz val="11"/>
      <color indexed="8"/>
      <name val="Tahoma"/>
      <family val="2"/>
    </font>
    <font>
      <sz val="12"/>
      <color indexed="8"/>
      <name val="Tahoma"/>
      <family val="2"/>
    </font>
    <font>
      <sz val="8"/>
      <name val="Haettenschweiler"/>
      <family val="2"/>
    </font>
    <font>
      <sz val="10"/>
      <name val="Haettenschweiler"/>
      <family val="2"/>
    </font>
    <font>
      <sz val="14"/>
      <name val="Tahoma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name val="Arial"/>
      <family val="2"/>
    </font>
    <font>
      <sz val="11"/>
      <color indexed="9"/>
      <name val="Tahoma"/>
      <family val="2"/>
    </font>
    <font>
      <sz val="11"/>
      <color indexed="9"/>
      <name val="Arial"/>
      <family val="2"/>
    </font>
    <font>
      <sz val="10"/>
      <name val="Times New Roman"/>
      <family val="1"/>
    </font>
    <font>
      <b/>
      <sz val="10"/>
      <color indexed="10"/>
      <name val="Tahoma"/>
      <family val="2"/>
    </font>
    <font>
      <b/>
      <sz val="11"/>
      <color indexed="10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sz val="11"/>
      <color indexed="9"/>
      <name val="Arial Narrow"/>
      <family val="2"/>
    </font>
    <font>
      <sz val="11"/>
      <color indexed="10"/>
      <name val="Arial Narrow"/>
      <family val="2"/>
    </font>
    <font>
      <u/>
      <sz val="1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9">
    <border>
      <left/>
      <right/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 style="thick">
        <color theme="0" tint="-0.34998626667073579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thick">
        <color theme="0" tint="-0.34998626667073579"/>
      </right>
      <top/>
      <bottom style="medium">
        <color indexed="23"/>
      </bottom>
      <diagonal/>
    </border>
    <border>
      <left/>
      <right style="thick">
        <color theme="0" tint="-0.34998626667073579"/>
      </right>
      <top/>
      <bottom style="thin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medium">
        <color indexed="23"/>
      </right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ck">
        <color theme="0" tint="-0.34998626667073579"/>
      </bottom>
      <diagonal/>
    </border>
    <border>
      <left/>
      <right style="medium">
        <color indexed="23"/>
      </right>
      <top style="medium">
        <color indexed="23"/>
      </top>
      <bottom style="thick">
        <color theme="0" tint="-0.34998626667073579"/>
      </bottom>
      <diagonal/>
    </border>
    <border>
      <left style="medium">
        <color indexed="23"/>
      </left>
      <right style="medium">
        <color indexed="23"/>
      </right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ck">
        <color theme="0" tint="-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theme="0" tint="-0.34998626667073579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indexed="23"/>
      </left>
      <right/>
      <top/>
      <bottom/>
      <diagonal/>
    </border>
    <border>
      <left style="medium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medium">
        <color indexed="23"/>
      </right>
      <top/>
      <bottom style="thin">
        <color indexed="23"/>
      </bottom>
      <diagonal/>
    </border>
    <border>
      <left/>
      <right style="thick">
        <color indexed="23"/>
      </right>
      <top/>
      <bottom/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/>
      <top style="medium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/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ck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thick">
        <color indexed="23"/>
      </right>
      <top style="medium">
        <color indexed="23"/>
      </top>
      <bottom style="medium">
        <color indexed="23"/>
      </bottom>
      <diagonal/>
    </border>
    <border>
      <left style="thick">
        <color indexed="23"/>
      </left>
      <right/>
      <top style="medium">
        <color indexed="23"/>
      </top>
      <bottom/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medium">
        <color indexed="23"/>
      </right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/>
      <right style="thick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 style="thick">
        <color indexed="23"/>
      </bottom>
      <diagonal/>
    </border>
    <border>
      <left style="medium">
        <color indexed="23"/>
      </left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thick">
        <color theme="0" tint="-0.34998626667073579"/>
      </top>
      <bottom style="thin">
        <color indexed="23"/>
      </bottom>
      <diagonal/>
    </border>
    <border>
      <left/>
      <right style="thin">
        <color indexed="23"/>
      </right>
      <top style="thick">
        <color theme="0" tint="-0.34998626667073579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/>
      <diagonal/>
    </border>
    <border>
      <left style="thin">
        <color indexed="23"/>
      </left>
      <right style="medium">
        <color indexed="23"/>
      </right>
      <top/>
      <bottom style="thick">
        <color theme="0" tint="-0.34998626667073579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ck">
        <color theme="0" tint="-0.34998626667073579"/>
      </bottom>
      <diagonal/>
    </border>
    <border>
      <left/>
      <right style="thin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 style="thick">
        <color theme="0" tint="-0.34998626667073579"/>
      </bottom>
      <diagonal/>
    </border>
    <border>
      <left/>
      <right style="thin">
        <color indexed="23"/>
      </right>
      <top/>
      <bottom style="thick">
        <color theme="0" tint="-0.34998626667073579"/>
      </bottom>
      <diagonal/>
    </border>
    <border>
      <left style="medium">
        <color indexed="23"/>
      </left>
      <right/>
      <top style="thin">
        <color indexed="64"/>
      </top>
      <bottom style="medium">
        <color indexed="23"/>
      </bottom>
      <diagonal/>
    </border>
    <border>
      <left/>
      <right/>
      <top style="thin">
        <color indexed="64"/>
      </top>
      <bottom style="medium">
        <color indexed="23"/>
      </bottom>
      <diagonal/>
    </border>
    <border>
      <left/>
      <right style="medium">
        <color indexed="23"/>
      </right>
      <top style="thin">
        <color indexed="64"/>
      </top>
      <bottom style="medium">
        <color indexed="23"/>
      </bottom>
      <diagonal/>
    </border>
    <border>
      <left style="thick">
        <color theme="0" tint="-0.34998626667073579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0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6" fillId="0" borderId="0" xfId="0" applyFont="1" applyProtection="1"/>
    <xf numFmtId="164" fontId="10" fillId="0" borderId="0" xfId="0" applyNumberFormat="1" applyFont="1" applyFill="1" applyAlignment="1" applyProtection="1">
      <alignment horizontal="left"/>
    </xf>
    <xf numFmtId="0" fontId="6" fillId="0" borderId="0" xfId="0" applyFont="1" applyFill="1" applyProtection="1"/>
    <xf numFmtId="0" fontId="10" fillId="0" borderId="0" xfId="0" applyFont="1" applyFill="1" applyAlignment="1" applyProtection="1">
      <alignment horizontal="center"/>
      <protection locked="0"/>
    </xf>
    <xf numFmtId="0" fontId="1" fillId="0" borderId="0" xfId="0" applyFont="1" applyFill="1" applyProtection="1"/>
    <xf numFmtId="0" fontId="0" fillId="0" borderId="0" xfId="0" applyFill="1" applyProtection="1"/>
    <xf numFmtId="0" fontId="1" fillId="0" borderId="20" xfId="0" applyFont="1" applyBorder="1" applyAlignment="1" applyProtection="1"/>
    <xf numFmtId="0" fontId="1" fillId="0" borderId="5" xfId="0" applyFont="1" applyBorder="1" applyAlignment="1" applyProtection="1"/>
    <xf numFmtId="0" fontId="10" fillId="0" borderId="0" xfId="0" applyFont="1" applyProtection="1"/>
    <xf numFmtId="0" fontId="9" fillId="0" borderId="0" xfId="0" applyFont="1" applyFill="1" applyBorder="1" applyAlignment="1" applyProtection="1">
      <alignment horizontal="center" vertical="center" wrapText="1"/>
    </xf>
    <xf numFmtId="0" fontId="9" fillId="0" borderId="7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/>
    </xf>
    <xf numFmtId="0" fontId="11" fillId="0" borderId="5" xfId="0" applyFont="1" applyFill="1" applyBorder="1" applyAlignment="1" applyProtection="1">
      <alignment horizontal="center"/>
    </xf>
    <xf numFmtId="0" fontId="1" fillId="0" borderId="5" xfId="0" applyFont="1" applyFill="1" applyBorder="1" applyAlignment="1" applyProtection="1">
      <alignment horizontal="center"/>
    </xf>
    <xf numFmtId="0" fontId="1" fillId="2" borderId="11" xfId="0" applyFont="1" applyFill="1" applyBorder="1" applyProtection="1"/>
    <xf numFmtId="0" fontId="10" fillId="0" borderId="9" xfId="0" applyFont="1" applyBorder="1" applyProtection="1"/>
    <xf numFmtId="0" fontId="1" fillId="0" borderId="9" xfId="0" applyFont="1" applyBorder="1" applyProtection="1"/>
    <xf numFmtId="0" fontId="12" fillId="0" borderId="9" xfId="0" applyFont="1" applyBorder="1" applyProtection="1"/>
    <xf numFmtId="0" fontId="1" fillId="2" borderId="27" xfId="0" applyFont="1" applyFill="1" applyBorder="1" applyAlignment="1" applyProtection="1">
      <alignment horizontal="centerContinuous"/>
    </xf>
    <xf numFmtId="0" fontId="13" fillId="0" borderId="0" xfId="0" applyFont="1" applyFill="1" applyProtection="1"/>
    <xf numFmtId="0" fontId="13" fillId="0" borderId="0" xfId="0" applyFont="1" applyProtection="1"/>
    <xf numFmtId="0" fontId="1" fillId="2" borderId="6" xfId="0" applyFont="1" applyFill="1" applyBorder="1" applyProtection="1"/>
    <xf numFmtId="0" fontId="5" fillId="3" borderId="25" xfId="0" applyFont="1" applyFill="1" applyBorder="1" applyAlignment="1" applyProtection="1">
      <alignment horizontal="center"/>
    </xf>
    <xf numFmtId="0" fontId="14" fillId="3" borderId="28" xfId="0" applyFont="1" applyFill="1" applyBorder="1" applyAlignment="1" applyProtection="1">
      <alignment horizontal="center"/>
    </xf>
    <xf numFmtId="165" fontId="14" fillId="0" borderId="29" xfId="0" applyNumberFormat="1" applyFont="1" applyBorder="1" applyAlignment="1" applyProtection="1">
      <alignment horizontal="center"/>
    </xf>
    <xf numFmtId="165" fontId="15" fillId="3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left"/>
    </xf>
    <xf numFmtId="0" fontId="1" fillId="2" borderId="33" xfId="0" applyFont="1" applyFill="1" applyBorder="1" applyAlignment="1" applyProtection="1">
      <alignment horizontal="centerContinuous"/>
    </xf>
    <xf numFmtId="0" fontId="10" fillId="0" borderId="14" xfId="0" applyFont="1" applyFill="1" applyBorder="1" applyAlignment="1" applyProtection="1">
      <alignment horizontal="center"/>
    </xf>
    <xf numFmtId="165" fontId="10" fillId="0" borderId="5" xfId="0" applyNumberFormat="1" applyFont="1" applyFill="1" applyBorder="1" applyAlignment="1" applyProtection="1">
      <alignment horizontal="center"/>
    </xf>
    <xf numFmtId="0" fontId="10" fillId="0" borderId="34" xfId="0" applyFont="1" applyFill="1" applyBorder="1" applyAlignment="1" applyProtection="1">
      <alignment horizontal="center"/>
    </xf>
    <xf numFmtId="0" fontId="10" fillId="0" borderId="5" xfId="0" applyFont="1" applyFill="1" applyBorder="1" applyAlignment="1" applyProtection="1">
      <alignment horizontal="center"/>
    </xf>
    <xf numFmtId="165" fontId="10" fillId="0" borderId="0" xfId="0" applyNumberFormat="1" applyFont="1" applyFill="1" applyBorder="1" applyAlignment="1" applyProtection="1">
      <alignment horizontal="center"/>
    </xf>
    <xf numFmtId="1" fontId="10" fillId="0" borderId="5" xfId="0" applyNumberFormat="1" applyFont="1" applyFill="1" applyBorder="1" applyAlignment="1" applyProtection="1">
      <alignment horizontal="center"/>
    </xf>
    <xf numFmtId="1" fontId="10" fillId="4" borderId="5" xfId="0" applyNumberFormat="1" applyFont="1" applyFill="1" applyBorder="1" applyAlignment="1" applyProtection="1">
      <alignment horizontal="center"/>
    </xf>
    <xf numFmtId="165" fontId="1" fillId="0" borderId="0" xfId="0" applyNumberFormat="1" applyFont="1" applyProtection="1"/>
    <xf numFmtId="0" fontId="1" fillId="2" borderId="41" xfId="0" applyFont="1" applyFill="1" applyBorder="1" applyProtection="1"/>
    <xf numFmtId="0" fontId="7" fillId="3" borderId="42" xfId="0" applyFont="1" applyFill="1" applyBorder="1" applyAlignment="1" applyProtection="1">
      <alignment horizontal="center" vertical="center" wrapText="1"/>
    </xf>
    <xf numFmtId="0" fontId="7" fillId="3" borderId="43" xfId="0" applyFont="1" applyFill="1" applyBorder="1" applyAlignment="1" applyProtection="1">
      <alignment horizontal="center" vertical="center" wrapText="1"/>
    </xf>
    <xf numFmtId="0" fontId="4" fillId="0" borderId="45" xfId="0" applyFont="1" applyBorder="1" applyProtection="1"/>
    <xf numFmtId="0" fontId="1" fillId="2" borderId="49" xfId="0" applyFont="1" applyFill="1" applyBorder="1" applyAlignment="1" applyProtection="1">
      <alignment horizontal="centerContinuous"/>
    </xf>
    <xf numFmtId="0" fontId="1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165" fontId="0" fillId="0" borderId="0" xfId="0" applyNumberFormat="1" applyProtection="1"/>
    <xf numFmtId="0" fontId="1" fillId="2" borderId="50" xfId="0" applyFont="1" applyFill="1" applyBorder="1" applyProtection="1"/>
    <xf numFmtId="0" fontId="5" fillId="0" borderId="51" xfId="0" applyFont="1" applyBorder="1" applyAlignment="1" applyProtection="1">
      <alignment horizontal="center" vertical="center"/>
    </xf>
    <xf numFmtId="2" fontId="5" fillId="2" borderId="52" xfId="0" applyNumberFormat="1" applyFont="1" applyFill="1" applyBorder="1" applyAlignment="1" applyProtection="1">
      <alignment horizontal="center" vertical="center"/>
    </xf>
    <xf numFmtId="165" fontId="5" fillId="2" borderId="53" xfId="0" applyNumberFormat="1" applyFont="1" applyFill="1" applyBorder="1" applyAlignment="1" applyProtection="1">
      <alignment horizontal="center" vertical="center"/>
    </xf>
    <xf numFmtId="165" fontId="5" fillId="2" borderId="54" xfId="1" applyNumberFormat="1" applyFont="1" applyFill="1" applyBorder="1" applyAlignment="1" applyProtection="1">
      <alignment horizontal="center" vertical="center"/>
    </xf>
    <xf numFmtId="165" fontId="5" fillId="2" borderId="55" xfId="1" applyNumberFormat="1" applyFont="1" applyFill="1" applyBorder="1" applyAlignment="1" applyProtection="1">
      <alignment horizontal="center" vertical="center"/>
    </xf>
    <xf numFmtId="0" fontId="18" fillId="0" borderId="0" xfId="0" applyFont="1" applyBorder="1" applyProtection="1"/>
    <xf numFmtId="0" fontId="5" fillId="0" borderId="54" xfId="0" applyFont="1" applyBorder="1" applyAlignment="1" applyProtection="1">
      <alignment horizontal="center" vertical="center"/>
      <protection locked="0"/>
    </xf>
    <xf numFmtId="0" fontId="5" fillId="0" borderId="55" xfId="0" applyFont="1" applyBorder="1" applyAlignment="1" applyProtection="1">
      <alignment horizontal="center" vertical="center"/>
      <protection locked="0"/>
    </xf>
    <xf numFmtId="0" fontId="1" fillId="2" borderId="56" xfId="0" applyFont="1" applyFill="1" applyBorder="1" applyAlignment="1" applyProtection="1">
      <alignment horizontal="centerContinuous"/>
    </xf>
    <xf numFmtId="0" fontId="19" fillId="0" borderId="0" xfId="0" applyFont="1" applyAlignment="1" applyProtection="1">
      <alignment vertical="center"/>
    </xf>
    <xf numFmtId="0" fontId="19" fillId="0" borderId="0" xfId="0" applyFont="1" applyProtection="1"/>
    <xf numFmtId="165" fontId="19" fillId="0" borderId="0" xfId="0" applyNumberFormat="1" applyFont="1" applyBorder="1" applyProtection="1"/>
    <xf numFmtId="0" fontId="19" fillId="0" borderId="0" xfId="0" applyFont="1" applyBorder="1" applyProtection="1"/>
    <xf numFmtId="0" fontId="5" fillId="0" borderId="57" xfId="0" applyFont="1" applyBorder="1" applyAlignment="1" applyProtection="1">
      <alignment horizontal="center" vertical="center"/>
    </xf>
    <xf numFmtId="165" fontId="5" fillId="2" borderId="58" xfId="0" applyNumberFormat="1" applyFont="1" applyFill="1" applyBorder="1" applyAlignment="1" applyProtection="1">
      <alignment horizontal="center" vertical="center"/>
    </xf>
    <xf numFmtId="165" fontId="5" fillId="2" borderId="52" xfId="1" applyNumberFormat="1" applyFont="1" applyFill="1" applyBorder="1" applyAlignment="1" applyProtection="1">
      <alignment horizontal="center" vertical="center"/>
    </xf>
    <xf numFmtId="165" fontId="5" fillId="2" borderId="59" xfId="1" applyNumberFormat="1" applyFont="1" applyFill="1" applyBorder="1" applyAlignment="1" applyProtection="1">
      <alignment horizontal="center" vertical="center"/>
    </xf>
    <xf numFmtId="2" fontId="10" fillId="0" borderId="0" xfId="0" applyNumberFormat="1" applyFont="1" applyFill="1" applyAlignment="1" applyProtection="1">
      <alignment horizontal="center"/>
    </xf>
    <xf numFmtId="165" fontId="19" fillId="0" borderId="0" xfId="0" applyNumberFormat="1" applyFont="1" applyFill="1" applyAlignment="1" applyProtection="1">
      <alignment horizontal="center"/>
    </xf>
    <xf numFmtId="2" fontId="10" fillId="0" borderId="14" xfId="0" applyNumberFormat="1" applyFont="1" applyFill="1" applyBorder="1" applyAlignment="1" applyProtection="1">
      <alignment horizontal="center"/>
    </xf>
    <xf numFmtId="0" fontId="19" fillId="0" borderId="5" xfId="0" applyFont="1" applyFill="1" applyBorder="1" applyAlignment="1" applyProtection="1">
      <alignment horizontal="center"/>
    </xf>
    <xf numFmtId="0" fontId="5" fillId="2" borderId="57" xfId="0" applyFont="1" applyFill="1" applyBorder="1" applyAlignment="1" applyProtection="1">
      <alignment horizontal="center" vertical="center"/>
    </xf>
    <xf numFmtId="2" fontId="19" fillId="0" borderId="0" xfId="0" applyNumberFormat="1" applyFont="1" applyProtection="1"/>
    <xf numFmtId="166" fontId="10" fillId="0" borderId="14" xfId="0" applyNumberFormat="1" applyFont="1" applyFill="1" applyBorder="1" applyAlignment="1" applyProtection="1">
      <alignment horizontal="center"/>
    </xf>
    <xf numFmtId="0" fontId="10" fillId="0" borderId="34" xfId="0" applyFont="1" applyFill="1" applyBorder="1" applyAlignment="1" applyProtection="1">
      <alignment horizontal="center" vertical="center"/>
    </xf>
    <xf numFmtId="1" fontId="10" fillId="0" borderId="5" xfId="0" applyNumberFormat="1" applyFont="1" applyFill="1" applyBorder="1" applyAlignment="1" applyProtection="1">
      <alignment horizontal="left"/>
    </xf>
    <xf numFmtId="1" fontId="10" fillId="0" borderId="0" xfId="0" applyNumberFormat="1" applyFont="1" applyFill="1" applyBorder="1" applyAlignment="1" applyProtection="1">
      <alignment horizontal="left"/>
    </xf>
    <xf numFmtId="0" fontId="20" fillId="0" borderId="5" xfId="0" applyFont="1" applyFill="1" applyBorder="1" applyAlignment="1" applyProtection="1">
      <alignment horizontal="center" vertical="center"/>
      <protection locked="0"/>
    </xf>
    <xf numFmtId="166" fontId="21" fillId="0" borderId="0" xfId="0" applyNumberFormat="1" applyFont="1" applyFill="1" applyProtection="1"/>
    <xf numFmtId="0" fontId="19" fillId="0" borderId="0" xfId="0" applyFont="1" applyFill="1" applyProtection="1"/>
    <xf numFmtId="166" fontId="10" fillId="0" borderId="5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Fill="1" applyProtection="1"/>
    <xf numFmtId="0" fontId="10" fillId="0" borderId="67" xfId="0" applyFont="1" applyFill="1" applyBorder="1" applyAlignment="1" applyProtection="1">
      <alignment horizontal="center"/>
    </xf>
    <xf numFmtId="0" fontId="13" fillId="0" borderId="0" xfId="0" applyFont="1" applyBorder="1" applyProtection="1"/>
    <xf numFmtId="0" fontId="5" fillId="2" borderId="68" xfId="0" applyFont="1" applyFill="1" applyBorder="1" applyAlignment="1" applyProtection="1">
      <alignment horizontal="center" vertical="center"/>
    </xf>
    <xf numFmtId="0" fontId="23" fillId="2" borderId="61" xfId="0" applyFont="1" applyFill="1" applyBorder="1" applyAlignment="1" applyProtection="1">
      <alignment horizontal="center" vertical="center"/>
    </xf>
    <xf numFmtId="165" fontId="5" fillId="2" borderId="69" xfId="0" applyNumberFormat="1" applyFont="1" applyFill="1" applyBorder="1" applyAlignment="1" applyProtection="1">
      <alignment horizontal="center" vertical="center"/>
    </xf>
    <xf numFmtId="165" fontId="5" fillId="2" borderId="61" xfId="1" applyNumberFormat="1" applyFont="1" applyFill="1" applyBorder="1" applyAlignment="1" applyProtection="1">
      <alignment horizontal="center" vertical="center"/>
    </xf>
    <xf numFmtId="165" fontId="5" fillId="2" borderId="70" xfId="1" applyNumberFormat="1" applyFont="1" applyFill="1" applyBorder="1" applyAlignment="1" applyProtection="1">
      <alignment horizontal="center" vertical="center"/>
    </xf>
    <xf numFmtId="165" fontId="10" fillId="0" borderId="71" xfId="0" applyNumberFormat="1" applyFont="1" applyFill="1" applyBorder="1" applyAlignment="1" applyProtection="1">
      <alignment horizontal="center"/>
    </xf>
    <xf numFmtId="0" fontId="1" fillId="2" borderId="0" xfId="0" applyFont="1" applyFill="1" applyBorder="1" applyProtection="1"/>
    <xf numFmtId="0" fontId="24" fillId="0" borderId="12" xfId="0" applyFont="1" applyFill="1" applyBorder="1" applyAlignment="1" applyProtection="1">
      <alignment horizontal="center"/>
    </xf>
    <xf numFmtId="165" fontId="5" fillId="2" borderId="74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Protection="1"/>
    <xf numFmtId="0" fontId="10" fillId="0" borderId="71" xfId="0" applyFont="1" applyFill="1" applyBorder="1" applyAlignment="1" applyProtection="1">
      <alignment horizontal="center"/>
    </xf>
    <xf numFmtId="2" fontId="19" fillId="0" borderId="0" xfId="0" applyNumberFormat="1" applyFont="1" applyFill="1" applyProtection="1"/>
    <xf numFmtId="165" fontId="1" fillId="0" borderId="0" xfId="0" applyNumberFormat="1" applyFont="1" applyBorder="1" applyProtection="1"/>
    <xf numFmtId="2" fontId="13" fillId="0" borderId="0" xfId="0" applyNumberFormat="1" applyFont="1" applyFill="1" applyProtection="1"/>
    <xf numFmtId="1" fontId="5" fillId="0" borderId="39" xfId="0" applyNumberFormat="1" applyFont="1" applyBorder="1" applyAlignment="1" applyProtection="1">
      <alignment horizontal="center" vertical="center"/>
    </xf>
    <xf numFmtId="0" fontId="5" fillId="0" borderId="40" xfId="0" applyFont="1" applyFill="1" applyBorder="1" applyAlignment="1" applyProtection="1">
      <alignment horizontal="center" vertical="center"/>
    </xf>
    <xf numFmtId="0" fontId="1" fillId="0" borderId="0" xfId="0" applyFont="1" applyBorder="1" applyProtection="1"/>
    <xf numFmtId="0" fontId="10" fillId="0" borderId="0" xfId="0" applyFont="1" applyFill="1" applyProtection="1"/>
    <xf numFmtId="165" fontId="19" fillId="0" borderId="0" xfId="0" applyNumberFormat="1" applyFont="1" applyBorder="1" applyAlignment="1" applyProtection="1"/>
    <xf numFmtId="1" fontId="5" fillId="0" borderId="52" xfId="0" applyNumberFormat="1" applyFont="1" applyBorder="1" applyAlignment="1" applyProtection="1">
      <alignment horizontal="center" vertical="center"/>
    </xf>
    <xf numFmtId="0" fontId="5" fillId="0" borderId="59" xfId="0" applyFont="1" applyFill="1" applyBorder="1" applyAlignment="1" applyProtection="1">
      <alignment horizontal="center" vertical="center"/>
    </xf>
    <xf numFmtId="0" fontId="10" fillId="0" borderId="0" xfId="0" applyFont="1" applyBorder="1" applyProtection="1"/>
    <xf numFmtId="2" fontId="10" fillId="0" borderId="71" xfId="0" applyNumberFormat="1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right"/>
    </xf>
    <xf numFmtId="0" fontId="1" fillId="0" borderId="0" xfId="0" applyFont="1" applyBorder="1" applyAlignment="1" applyProtection="1">
      <alignment horizontal="left"/>
    </xf>
    <xf numFmtId="0" fontId="1" fillId="2" borderId="56" xfId="0" applyFont="1" applyFill="1" applyBorder="1" applyProtection="1"/>
    <xf numFmtId="0" fontId="5" fillId="0" borderId="61" xfId="0" applyFont="1" applyBorder="1" applyAlignment="1" applyProtection="1">
      <alignment horizontal="center" vertical="center"/>
    </xf>
    <xf numFmtId="0" fontId="5" fillId="0" borderId="70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right"/>
    </xf>
    <xf numFmtId="0" fontId="5" fillId="0" borderId="0" xfId="0" applyFont="1" applyBorder="1" applyProtection="1"/>
    <xf numFmtId="0" fontId="5" fillId="2" borderId="9" xfId="0" applyFont="1" applyFill="1" applyBorder="1" applyAlignment="1" applyProtection="1">
      <alignment horizontal="left"/>
      <protection locked="0"/>
    </xf>
    <xf numFmtId="0" fontId="4" fillId="2" borderId="9" xfId="0" applyFont="1" applyFill="1" applyBorder="1" applyAlignment="1" applyProtection="1">
      <alignment horizontal="left"/>
      <protection locked="0"/>
    </xf>
    <xf numFmtId="0" fontId="1" fillId="2" borderId="0" xfId="0" applyFont="1" applyFill="1" applyBorder="1" applyProtection="1">
      <protection locked="0"/>
    </xf>
    <xf numFmtId="165" fontId="10" fillId="0" borderId="0" xfId="0" applyNumberFormat="1" applyFont="1" applyFill="1" applyBorder="1" applyAlignment="1" applyProtection="1">
      <alignment horizontal="right"/>
    </xf>
    <xf numFmtId="0" fontId="10" fillId="0" borderId="9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1" fillId="2" borderId="9" xfId="0" applyFont="1" applyFill="1" applyBorder="1" applyProtection="1">
      <protection locked="0"/>
    </xf>
    <xf numFmtId="2" fontId="10" fillId="0" borderId="75" xfId="0" applyNumberFormat="1" applyFont="1" applyFill="1" applyBorder="1" applyAlignment="1" applyProtection="1">
      <alignment horizontal="center"/>
    </xf>
    <xf numFmtId="0" fontId="1" fillId="0" borderId="13" xfId="0" applyFont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0" fillId="0" borderId="0" xfId="0" applyBorder="1" applyProtection="1"/>
    <xf numFmtId="2" fontId="10" fillId="0" borderId="0" xfId="0" applyNumberFormat="1" applyFont="1" applyFill="1" applyBorder="1" applyAlignment="1" applyProtection="1">
      <alignment horizontal="center"/>
    </xf>
    <xf numFmtId="2" fontId="1" fillId="0" borderId="0" xfId="0" applyNumberFormat="1" applyFont="1" applyFill="1" applyBorder="1" applyAlignment="1" applyProtection="1">
      <alignment horizontal="left" vertical="center"/>
    </xf>
    <xf numFmtId="2" fontId="1" fillId="0" borderId="0" xfId="0" applyNumberFormat="1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 vertical="center"/>
    </xf>
    <xf numFmtId="2" fontId="0" fillId="0" borderId="0" xfId="0" applyNumberFormat="1" applyBorder="1" applyProtection="1"/>
    <xf numFmtId="0" fontId="1" fillId="0" borderId="0" xfId="0" applyFont="1" applyFill="1" applyBorder="1" applyProtection="1"/>
    <xf numFmtId="0" fontId="19" fillId="0" borderId="0" xfId="0" applyFont="1" applyFill="1" applyBorder="1" applyAlignment="1" applyProtection="1">
      <alignment horizontal="left" vertical="center"/>
    </xf>
    <xf numFmtId="0" fontId="19" fillId="0" borderId="0" xfId="0" applyFont="1" applyFill="1" applyBorder="1" applyProtection="1"/>
    <xf numFmtId="2" fontId="19" fillId="0" borderId="0" xfId="0" applyNumberFormat="1" applyFont="1" applyFill="1" applyBorder="1" applyProtection="1"/>
    <xf numFmtId="1" fontId="19" fillId="0" borderId="0" xfId="0" applyNumberFormat="1" applyFont="1" applyFill="1" applyProtection="1"/>
    <xf numFmtId="166" fontId="19" fillId="0" borderId="0" xfId="0" applyNumberFormat="1" applyFont="1" applyFill="1" applyProtection="1"/>
    <xf numFmtId="165" fontId="19" fillId="0" borderId="0" xfId="0" applyNumberFormat="1" applyFont="1" applyFill="1" applyProtection="1"/>
    <xf numFmtId="165" fontId="19" fillId="0" borderId="0" xfId="0" applyNumberFormat="1" applyFont="1" applyFill="1" applyBorder="1" applyProtection="1"/>
    <xf numFmtId="0" fontId="25" fillId="0" borderId="0" xfId="0" applyFont="1" applyBorder="1" applyAlignment="1">
      <alignment horizontal="center" vertical="center" wrapText="1"/>
    </xf>
    <xf numFmtId="165" fontId="1" fillId="0" borderId="0" xfId="0" applyNumberFormat="1" applyFont="1" applyFill="1" applyProtection="1"/>
    <xf numFmtId="165" fontId="0" fillId="0" borderId="0" xfId="0" applyNumberFormat="1" applyFill="1" applyProtection="1"/>
    <xf numFmtId="166" fontId="10" fillId="0" borderId="5" xfId="0" applyNumberFormat="1" applyFont="1" applyFill="1" applyBorder="1" applyAlignment="1" applyProtection="1">
      <alignment horizontal="center"/>
    </xf>
    <xf numFmtId="2" fontId="1" fillId="0" borderId="0" xfId="0" applyNumberFormat="1" applyFont="1" applyFill="1" applyProtection="1"/>
    <xf numFmtId="0" fontId="25" fillId="0" borderId="0" xfId="0" applyNumberFormat="1" applyFont="1" applyBorder="1" applyAlignment="1">
      <alignment horizontal="center" vertical="center" wrapText="1"/>
    </xf>
    <xf numFmtId="165" fontId="10" fillId="0" borderId="0" xfId="0" applyNumberFormat="1" applyFont="1" applyBorder="1" applyProtection="1"/>
    <xf numFmtId="166" fontId="19" fillId="0" borderId="0" xfId="0" applyNumberFormat="1" applyFont="1" applyBorder="1" applyProtection="1"/>
    <xf numFmtId="2" fontId="19" fillId="0" borderId="0" xfId="0" applyNumberFormat="1" applyFont="1" applyBorder="1" applyProtection="1"/>
    <xf numFmtId="166" fontId="0" fillId="0" borderId="0" xfId="0" applyNumberFormat="1" applyBorder="1" applyProtection="1"/>
    <xf numFmtId="165" fontId="0" fillId="0" borderId="0" xfId="0" applyNumberFormat="1" applyBorder="1" applyProtection="1"/>
    <xf numFmtId="2" fontId="1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2" fontId="1" fillId="0" borderId="0" xfId="0" applyNumberFormat="1" applyFont="1" applyBorder="1" applyProtection="1"/>
    <xf numFmtId="165" fontId="0" fillId="0" borderId="0" xfId="0" applyNumberFormat="1" applyFill="1" applyBorder="1" applyProtection="1"/>
    <xf numFmtId="0" fontId="0" fillId="0" borderId="0" xfId="0" applyFill="1" applyBorder="1" applyProtection="1"/>
    <xf numFmtId="2" fontId="1" fillId="0" borderId="0" xfId="0" applyNumberFormat="1" applyFont="1" applyFill="1" applyBorder="1" applyProtection="1"/>
    <xf numFmtId="0" fontId="10" fillId="6" borderId="12" xfId="0" applyFont="1" applyFill="1" applyBorder="1" applyAlignment="1" applyProtection="1">
      <alignment horizontal="center"/>
      <protection locked="0"/>
    </xf>
    <xf numFmtId="0" fontId="10" fillId="6" borderId="12" xfId="0" applyFont="1" applyFill="1" applyBorder="1" applyAlignment="1" applyProtection="1">
      <alignment horizontal="center" vertical="center"/>
      <protection locked="0"/>
    </xf>
    <xf numFmtId="165" fontId="10" fillId="6" borderId="12" xfId="0" applyNumberFormat="1" applyFont="1" applyFill="1" applyBorder="1" applyAlignment="1" applyProtection="1">
      <alignment horizontal="center"/>
      <protection locked="0"/>
    </xf>
    <xf numFmtId="167" fontId="10" fillId="0" borderId="5" xfId="0" applyNumberFormat="1" applyFont="1" applyFill="1" applyBorder="1" applyAlignment="1" applyProtection="1">
      <alignment horizontal="left"/>
    </xf>
    <xf numFmtId="165" fontId="1" fillId="6" borderId="0" xfId="0" applyNumberFormat="1" applyFont="1" applyFill="1" applyAlignment="1" applyProtection="1">
      <alignment horizontal="center"/>
      <protection locked="0"/>
    </xf>
    <xf numFmtId="0" fontId="4" fillId="7" borderId="5" xfId="0" applyFont="1" applyFill="1" applyBorder="1" applyAlignment="1" applyProtection="1">
      <alignment vertical="center"/>
    </xf>
    <xf numFmtId="0" fontId="4" fillId="7" borderId="5" xfId="0" applyFont="1" applyFill="1" applyBorder="1" applyProtection="1"/>
    <xf numFmtId="0" fontId="5" fillId="7" borderId="52" xfId="0" applyFont="1" applyFill="1" applyBorder="1" applyAlignment="1" applyProtection="1">
      <alignment horizontal="center" vertical="center"/>
      <protection locked="0"/>
    </xf>
    <xf numFmtId="0" fontId="5" fillId="7" borderId="59" xfId="0" applyFont="1" applyFill="1" applyBorder="1" applyAlignment="1" applyProtection="1">
      <alignment horizontal="center" vertical="center"/>
      <protection locked="0"/>
    </xf>
    <xf numFmtId="2" fontId="5" fillId="7" borderId="52" xfId="0" applyNumberFormat="1" applyFont="1" applyFill="1" applyBorder="1" applyAlignment="1" applyProtection="1">
      <alignment horizontal="center" vertical="center"/>
      <protection locked="0"/>
    </xf>
    <xf numFmtId="2" fontId="5" fillId="7" borderId="59" xfId="0" applyNumberFormat="1" applyFont="1" applyFill="1" applyBorder="1" applyAlignment="1" applyProtection="1">
      <alignment horizontal="center" vertical="center"/>
      <protection locked="0"/>
    </xf>
    <xf numFmtId="2" fontId="5" fillId="7" borderId="61" xfId="0" applyNumberFormat="1" applyFont="1" applyFill="1" applyBorder="1" applyAlignment="1" applyProtection="1">
      <alignment horizontal="center" vertical="center"/>
    </xf>
    <xf numFmtId="2" fontId="5" fillId="7" borderId="62" xfId="0" applyNumberFormat="1" applyFont="1" applyFill="1" applyBorder="1" applyAlignment="1" applyProtection="1">
      <alignment horizontal="center" vertical="center"/>
    </xf>
    <xf numFmtId="0" fontId="3" fillId="7" borderId="65" xfId="0" applyFont="1" applyFill="1" applyBorder="1" applyAlignment="1" applyProtection="1">
      <alignment horizontal="center" vertical="center"/>
    </xf>
    <xf numFmtId="0" fontId="5" fillId="7" borderId="54" xfId="0" applyFont="1" applyFill="1" applyBorder="1" applyAlignment="1" applyProtection="1">
      <alignment horizontal="center" vertical="center"/>
      <protection locked="0"/>
    </xf>
    <xf numFmtId="165" fontId="5" fillId="7" borderId="5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165" fontId="1" fillId="0" borderId="0" xfId="0" applyNumberFormat="1" applyFont="1" applyBorder="1" applyAlignment="1" applyProtection="1">
      <alignment horizontal="center" vertical="center"/>
    </xf>
    <xf numFmtId="0" fontId="3" fillId="7" borderId="39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left"/>
    </xf>
    <xf numFmtId="0" fontId="1" fillId="0" borderId="13" xfId="0" applyFont="1" applyBorder="1" applyAlignment="1" applyProtection="1">
      <alignment horizontal="left"/>
    </xf>
    <xf numFmtId="0" fontId="3" fillId="7" borderId="39" xfId="0" applyFont="1" applyFill="1" applyBorder="1" applyAlignment="1" applyProtection="1">
      <alignment horizontal="center" vertical="center"/>
    </xf>
    <xf numFmtId="165" fontId="1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164" fontId="30" fillId="0" borderId="0" xfId="0" applyNumberFormat="1" applyFont="1" applyFill="1" applyAlignment="1" applyProtection="1">
      <alignment horizontal="left"/>
    </xf>
    <xf numFmtId="0" fontId="30" fillId="0" borderId="0" xfId="0" applyFont="1" applyFill="1" applyAlignment="1" applyProtection="1">
      <alignment horizontal="center"/>
      <protection locked="0"/>
    </xf>
    <xf numFmtId="0" fontId="30" fillId="0" borderId="9" xfId="0" applyFont="1" applyBorder="1" applyProtection="1"/>
    <xf numFmtId="0" fontId="30" fillId="0" borderId="14" xfId="0" applyFont="1" applyFill="1" applyBorder="1" applyAlignment="1" applyProtection="1">
      <alignment horizontal="center"/>
    </xf>
    <xf numFmtId="165" fontId="30" fillId="0" borderId="5" xfId="0" applyNumberFormat="1" applyFont="1" applyFill="1" applyBorder="1" applyAlignment="1" applyProtection="1">
      <alignment horizontal="center"/>
    </xf>
    <xf numFmtId="0" fontId="30" fillId="6" borderId="12" xfId="0" applyFont="1" applyFill="1" applyBorder="1" applyAlignment="1" applyProtection="1">
      <alignment horizontal="center"/>
      <protection locked="0"/>
    </xf>
    <xf numFmtId="0" fontId="30" fillId="0" borderId="34" xfId="0" applyFont="1" applyFill="1" applyBorder="1" applyAlignment="1" applyProtection="1">
      <alignment horizontal="center"/>
    </xf>
    <xf numFmtId="0" fontId="30" fillId="0" borderId="5" xfId="0" applyFont="1" applyFill="1" applyBorder="1" applyAlignment="1" applyProtection="1">
      <alignment horizontal="center"/>
    </xf>
    <xf numFmtId="165" fontId="30" fillId="0" borderId="0" xfId="0" applyNumberFormat="1" applyFont="1" applyFill="1" applyBorder="1" applyAlignment="1" applyProtection="1">
      <alignment horizontal="center"/>
    </xf>
    <xf numFmtId="1" fontId="30" fillId="0" borderId="5" xfId="0" applyNumberFormat="1" applyFont="1" applyFill="1" applyBorder="1" applyAlignment="1" applyProtection="1">
      <alignment horizontal="center"/>
    </xf>
    <xf numFmtId="1" fontId="30" fillId="4" borderId="5" xfId="0" applyNumberFormat="1" applyFont="1" applyFill="1" applyBorder="1" applyAlignment="1" applyProtection="1">
      <alignment horizontal="center"/>
    </xf>
    <xf numFmtId="0" fontId="30" fillId="6" borderId="12" xfId="0" applyFont="1" applyFill="1" applyBorder="1" applyAlignment="1" applyProtection="1">
      <alignment horizontal="center" vertical="center"/>
      <protection locked="0"/>
    </xf>
    <xf numFmtId="0" fontId="30" fillId="0" borderId="51" xfId="0" applyFont="1" applyBorder="1" applyAlignment="1" applyProtection="1">
      <alignment horizontal="center" vertical="center"/>
    </xf>
    <xf numFmtId="2" fontId="30" fillId="2" borderId="52" xfId="0" applyNumberFormat="1" applyFont="1" applyFill="1" applyBorder="1" applyAlignment="1" applyProtection="1">
      <alignment horizontal="center" vertical="center"/>
    </xf>
    <xf numFmtId="165" fontId="30" fillId="2" borderId="53" xfId="0" applyNumberFormat="1" applyFont="1" applyFill="1" applyBorder="1" applyAlignment="1" applyProtection="1">
      <alignment horizontal="center" vertical="center"/>
    </xf>
    <xf numFmtId="165" fontId="30" fillId="2" borderId="54" xfId="1" applyNumberFormat="1" applyFont="1" applyFill="1" applyBorder="1" applyAlignment="1" applyProtection="1">
      <alignment horizontal="center" vertical="center"/>
    </xf>
    <xf numFmtId="165" fontId="30" fillId="2" borderId="55" xfId="1" applyNumberFormat="1" applyFont="1" applyFill="1" applyBorder="1" applyAlignment="1" applyProtection="1">
      <alignment horizontal="center" vertical="center"/>
    </xf>
    <xf numFmtId="0" fontId="30" fillId="0" borderId="54" xfId="0" applyFont="1" applyBorder="1" applyAlignment="1" applyProtection="1">
      <alignment horizontal="center" vertical="center"/>
      <protection locked="0"/>
    </xf>
    <xf numFmtId="0" fontId="30" fillId="0" borderId="55" xfId="0" applyFont="1" applyBorder="1" applyAlignment="1" applyProtection="1">
      <alignment horizontal="center" vertical="center"/>
      <protection locked="0"/>
    </xf>
    <xf numFmtId="0" fontId="30" fillId="0" borderId="57" xfId="0" applyFont="1" applyBorder="1" applyAlignment="1" applyProtection="1">
      <alignment horizontal="center" vertical="center"/>
    </xf>
    <xf numFmtId="165" fontId="30" fillId="2" borderId="58" xfId="0" applyNumberFormat="1" applyFont="1" applyFill="1" applyBorder="1" applyAlignment="1" applyProtection="1">
      <alignment horizontal="center" vertical="center"/>
    </xf>
    <xf numFmtId="165" fontId="30" fillId="2" borderId="52" xfId="1" applyNumberFormat="1" applyFont="1" applyFill="1" applyBorder="1" applyAlignment="1" applyProtection="1">
      <alignment horizontal="center" vertical="center"/>
    </xf>
    <xf numFmtId="165" fontId="30" fillId="2" borderId="59" xfId="1" applyNumberFormat="1" applyFont="1" applyFill="1" applyBorder="1" applyAlignment="1" applyProtection="1">
      <alignment horizontal="center" vertical="center"/>
    </xf>
    <xf numFmtId="0" fontId="30" fillId="7" borderId="52" xfId="0" applyFont="1" applyFill="1" applyBorder="1" applyAlignment="1" applyProtection="1">
      <alignment horizontal="center" vertical="center"/>
      <protection locked="0"/>
    </xf>
    <xf numFmtId="0" fontId="30" fillId="7" borderId="59" xfId="0" applyFont="1" applyFill="1" applyBorder="1" applyAlignment="1" applyProtection="1">
      <alignment horizontal="center" vertical="center"/>
      <protection locked="0"/>
    </xf>
    <xf numFmtId="2" fontId="30" fillId="0" borderId="0" xfId="0" applyNumberFormat="1" applyFont="1" applyFill="1" applyAlignment="1" applyProtection="1">
      <alignment horizontal="center"/>
    </xf>
    <xf numFmtId="2" fontId="30" fillId="7" borderId="52" xfId="0" applyNumberFormat="1" applyFont="1" applyFill="1" applyBorder="1" applyAlignment="1" applyProtection="1">
      <alignment horizontal="center" vertical="center"/>
      <protection locked="0"/>
    </xf>
    <xf numFmtId="2" fontId="30" fillId="7" borderId="59" xfId="0" applyNumberFormat="1" applyFont="1" applyFill="1" applyBorder="1" applyAlignment="1" applyProtection="1">
      <alignment horizontal="center" vertical="center"/>
      <protection locked="0"/>
    </xf>
    <xf numFmtId="2" fontId="30" fillId="7" borderId="61" xfId="0" applyNumberFormat="1" applyFont="1" applyFill="1" applyBorder="1" applyAlignment="1" applyProtection="1">
      <alignment horizontal="center" vertical="center"/>
    </xf>
    <xf numFmtId="2" fontId="30" fillId="7" borderId="62" xfId="0" applyNumberFormat="1" applyFont="1" applyFill="1" applyBorder="1" applyAlignment="1" applyProtection="1">
      <alignment horizontal="center" vertical="center"/>
    </xf>
    <xf numFmtId="2" fontId="30" fillId="0" borderId="14" xfId="0" applyNumberFormat="1" applyFont="1" applyFill="1" applyBorder="1" applyAlignment="1" applyProtection="1">
      <alignment horizontal="center"/>
    </xf>
    <xf numFmtId="0" fontId="30" fillId="2" borderId="57" xfId="0" applyFont="1" applyFill="1" applyBorder="1" applyAlignment="1" applyProtection="1">
      <alignment horizontal="center" vertical="center"/>
    </xf>
    <xf numFmtId="0" fontId="30" fillId="7" borderId="54" xfId="0" applyFont="1" applyFill="1" applyBorder="1" applyAlignment="1" applyProtection="1">
      <alignment horizontal="center" vertical="center"/>
      <protection locked="0"/>
    </xf>
    <xf numFmtId="166" fontId="30" fillId="0" borderId="14" xfId="0" applyNumberFormat="1" applyFont="1" applyFill="1" applyBorder="1" applyAlignment="1" applyProtection="1">
      <alignment horizontal="center"/>
    </xf>
    <xf numFmtId="165" fontId="30" fillId="6" borderId="12" xfId="0" applyNumberFormat="1" applyFont="1" applyFill="1" applyBorder="1" applyAlignment="1" applyProtection="1">
      <alignment horizontal="center"/>
      <protection locked="0"/>
    </xf>
    <xf numFmtId="0" fontId="30" fillId="0" borderId="34" xfId="0" applyFont="1" applyFill="1" applyBorder="1" applyAlignment="1" applyProtection="1">
      <alignment horizontal="center" vertical="center"/>
    </xf>
    <xf numFmtId="1" fontId="30" fillId="0" borderId="5" xfId="0" applyNumberFormat="1" applyFont="1" applyFill="1" applyBorder="1" applyAlignment="1" applyProtection="1">
      <alignment horizontal="left"/>
    </xf>
    <xf numFmtId="1" fontId="30" fillId="0" borderId="0" xfId="0" applyNumberFormat="1" applyFont="1" applyFill="1" applyBorder="1" applyAlignment="1" applyProtection="1">
      <alignment horizontal="left"/>
    </xf>
    <xf numFmtId="165" fontId="30" fillId="7" borderId="52" xfId="0" applyNumberFormat="1" applyFont="1" applyFill="1" applyBorder="1" applyAlignment="1" applyProtection="1">
      <alignment horizontal="center" vertical="center"/>
      <protection locked="0"/>
    </xf>
    <xf numFmtId="167" fontId="30" fillId="0" borderId="5" xfId="0" applyNumberFormat="1" applyFont="1" applyFill="1" applyBorder="1" applyAlignment="1" applyProtection="1">
      <alignment horizontal="left"/>
    </xf>
    <xf numFmtId="166" fontId="30" fillId="0" borderId="5" xfId="0" applyNumberFormat="1" applyFont="1" applyFill="1" applyBorder="1" applyAlignment="1" applyProtection="1">
      <alignment horizontal="center"/>
      <protection locked="0"/>
    </xf>
    <xf numFmtId="0" fontId="30" fillId="0" borderId="67" xfId="0" applyFont="1" applyFill="1" applyBorder="1" applyAlignment="1" applyProtection="1">
      <alignment horizontal="center"/>
    </xf>
    <xf numFmtId="0" fontId="30" fillId="2" borderId="68" xfId="0" applyFont="1" applyFill="1" applyBorder="1" applyAlignment="1" applyProtection="1">
      <alignment horizontal="center" vertical="center"/>
    </xf>
    <xf numFmtId="0" fontId="32" fillId="2" borderId="61" xfId="0" applyFont="1" applyFill="1" applyBorder="1" applyAlignment="1" applyProtection="1">
      <alignment horizontal="center" vertical="center"/>
    </xf>
    <xf numFmtId="165" fontId="30" fillId="2" borderId="69" xfId="0" applyNumberFormat="1" applyFont="1" applyFill="1" applyBorder="1" applyAlignment="1" applyProtection="1">
      <alignment horizontal="center" vertical="center"/>
    </xf>
    <xf numFmtId="165" fontId="30" fillId="2" borderId="61" xfId="1" applyNumberFormat="1" applyFont="1" applyFill="1" applyBorder="1" applyAlignment="1" applyProtection="1">
      <alignment horizontal="center" vertical="center"/>
    </xf>
    <xf numFmtId="165" fontId="30" fillId="2" borderId="70" xfId="1" applyNumberFormat="1" applyFont="1" applyFill="1" applyBorder="1" applyAlignment="1" applyProtection="1">
      <alignment horizontal="center" vertical="center"/>
    </xf>
    <xf numFmtId="165" fontId="30" fillId="0" borderId="71" xfId="0" applyNumberFormat="1" applyFont="1" applyFill="1" applyBorder="1" applyAlignment="1" applyProtection="1">
      <alignment horizontal="center"/>
    </xf>
    <xf numFmtId="0" fontId="32" fillId="0" borderId="12" xfId="0" applyFont="1" applyFill="1" applyBorder="1" applyAlignment="1" applyProtection="1">
      <alignment horizontal="center"/>
    </xf>
    <xf numFmtId="165" fontId="30" fillId="2" borderId="74" xfId="0" applyNumberFormat="1" applyFont="1" applyFill="1" applyBorder="1" applyAlignment="1" applyProtection="1">
      <alignment horizontal="center" vertical="center"/>
    </xf>
    <xf numFmtId="0" fontId="30" fillId="0" borderId="71" xfId="0" applyFont="1" applyFill="1" applyBorder="1" applyAlignment="1" applyProtection="1">
      <alignment horizontal="center"/>
    </xf>
    <xf numFmtId="165" fontId="30" fillId="0" borderId="0" xfId="0" applyNumberFormat="1" applyFont="1" applyBorder="1" applyProtection="1"/>
    <xf numFmtId="1" fontId="30" fillId="0" borderId="39" xfId="0" applyNumberFormat="1" applyFont="1" applyBorder="1" applyAlignment="1" applyProtection="1">
      <alignment horizontal="center" vertical="center"/>
    </xf>
    <xf numFmtId="0" fontId="30" fillId="0" borderId="40" xfId="0" applyFont="1" applyFill="1" applyBorder="1" applyAlignment="1" applyProtection="1">
      <alignment horizontal="center" vertical="center"/>
    </xf>
    <xf numFmtId="0" fontId="30" fillId="0" borderId="0" xfId="0" applyFont="1" applyFill="1" applyProtection="1"/>
    <xf numFmtId="1" fontId="30" fillId="0" borderId="52" xfId="0" applyNumberFormat="1" applyFont="1" applyBorder="1" applyAlignment="1" applyProtection="1">
      <alignment horizontal="center" vertical="center"/>
    </xf>
    <xf numFmtId="0" fontId="30" fillId="0" borderId="59" xfId="0" applyFont="1" applyFill="1" applyBorder="1" applyAlignment="1" applyProtection="1">
      <alignment horizontal="center" vertical="center"/>
    </xf>
    <xf numFmtId="0" fontId="30" fillId="0" borderId="0" xfId="0" applyFont="1" applyBorder="1" applyProtection="1"/>
    <xf numFmtId="2" fontId="30" fillId="0" borderId="71" xfId="0" applyNumberFormat="1" applyFont="1" applyFill="1" applyBorder="1" applyAlignment="1" applyProtection="1">
      <alignment horizontal="center"/>
    </xf>
    <xf numFmtId="0" fontId="30" fillId="0" borderId="0" xfId="0" applyFont="1" applyFill="1" applyBorder="1" applyAlignment="1" applyProtection="1">
      <alignment horizontal="center"/>
    </xf>
    <xf numFmtId="0" fontId="30" fillId="0" borderId="0" xfId="0" applyFont="1" applyFill="1" applyBorder="1" applyAlignment="1" applyProtection="1">
      <alignment horizontal="right"/>
    </xf>
    <xf numFmtId="0" fontId="30" fillId="0" borderId="61" xfId="0" applyFont="1" applyBorder="1" applyAlignment="1" applyProtection="1">
      <alignment horizontal="center" vertical="center"/>
    </xf>
    <xf numFmtId="0" fontId="30" fillId="0" borderId="70" xfId="0" applyFont="1" applyFill="1" applyBorder="1" applyAlignment="1" applyProtection="1">
      <alignment horizontal="center" vertical="center"/>
    </xf>
    <xf numFmtId="0" fontId="30" fillId="2" borderId="9" xfId="0" applyFont="1" applyFill="1" applyBorder="1" applyAlignment="1" applyProtection="1">
      <alignment horizontal="left"/>
      <protection locked="0"/>
    </xf>
    <xf numFmtId="165" fontId="30" fillId="0" borderId="0" xfId="0" applyNumberFormat="1" applyFont="1" applyFill="1" applyBorder="1" applyAlignment="1" applyProtection="1">
      <alignment horizontal="right"/>
    </xf>
    <xf numFmtId="0" fontId="30" fillId="0" borderId="9" xfId="0" applyFont="1" applyBorder="1" applyProtection="1">
      <protection locked="0"/>
    </xf>
    <xf numFmtId="2" fontId="30" fillId="0" borderId="75" xfId="0" applyNumberFormat="1" applyFont="1" applyFill="1" applyBorder="1" applyAlignment="1" applyProtection="1">
      <alignment horizontal="center"/>
    </xf>
    <xf numFmtId="2" fontId="30" fillId="0" borderId="0" xfId="0" applyNumberFormat="1" applyFont="1" applyFill="1" applyBorder="1" applyAlignment="1" applyProtection="1">
      <alignment horizontal="center"/>
    </xf>
    <xf numFmtId="166" fontId="30" fillId="0" borderId="5" xfId="0" applyNumberFormat="1" applyFont="1" applyFill="1" applyBorder="1" applyAlignment="1" applyProtection="1">
      <alignment horizontal="center"/>
    </xf>
    <xf numFmtId="0" fontId="30" fillId="3" borderId="25" xfId="0" applyFont="1" applyFill="1" applyBorder="1" applyAlignment="1" applyProtection="1">
      <alignment horizontal="center" vertical="center"/>
    </xf>
    <xf numFmtId="0" fontId="31" fillId="3" borderId="28" xfId="0" applyFont="1" applyFill="1" applyBorder="1" applyAlignment="1" applyProtection="1">
      <alignment horizontal="center" vertical="center"/>
    </xf>
    <xf numFmtId="165" fontId="31" fillId="0" borderId="29" xfId="0" applyNumberFormat="1" applyFont="1" applyBorder="1" applyAlignment="1" applyProtection="1">
      <alignment horizontal="center" vertical="center"/>
    </xf>
    <xf numFmtId="0" fontId="30" fillId="2" borderId="6" xfId="0" applyFont="1" applyFill="1" applyBorder="1" applyProtection="1"/>
    <xf numFmtId="165" fontId="31" fillId="3" borderId="25" xfId="0" applyNumberFormat="1" applyFont="1" applyFill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left"/>
    </xf>
    <xf numFmtId="0" fontId="30" fillId="2" borderId="33" xfId="0" applyFont="1" applyFill="1" applyBorder="1" applyAlignment="1" applyProtection="1">
      <alignment horizontal="centerContinuous"/>
    </xf>
    <xf numFmtId="0" fontId="30" fillId="2" borderId="41" xfId="0" applyFont="1" applyFill="1" applyBorder="1" applyProtection="1"/>
    <xf numFmtId="0" fontId="30" fillId="3" borderId="42" xfId="0" applyFont="1" applyFill="1" applyBorder="1" applyAlignment="1" applyProtection="1">
      <alignment horizontal="center" vertical="center" wrapText="1"/>
    </xf>
    <xf numFmtId="0" fontId="30" fillId="3" borderId="43" xfId="0" applyFont="1" applyFill="1" applyBorder="1" applyAlignment="1" applyProtection="1">
      <alignment horizontal="center" vertical="center" wrapText="1"/>
    </xf>
    <xf numFmtId="0" fontId="30" fillId="0" borderId="45" xfId="0" applyFont="1" applyBorder="1" applyProtection="1"/>
    <xf numFmtId="0" fontId="30" fillId="2" borderId="49" xfId="0" applyFont="1" applyFill="1" applyBorder="1" applyAlignment="1" applyProtection="1">
      <alignment horizontal="centerContinuous"/>
    </xf>
    <xf numFmtId="0" fontId="30" fillId="2" borderId="50" xfId="0" applyFont="1" applyFill="1" applyBorder="1" applyProtection="1"/>
    <xf numFmtId="0" fontId="30" fillId="2" borderId="56" xfId="0" applyFont="1" applyFill="1" applyBorder="1" applyAlignment="1" applyProtection="1">
      <alignment horizontal="centerContinuous"/>
    </xf>
    <xf numFmtId="165" fontId="30" fillId="0" borderId="0" xfId="0" applyNumberFormat="1" applyFont="1" applyFill="1" applyAlignment="1" applyProtection="1">
      <alignment horizontal="center"/>
    </xf>
    <xf numFmtId="0" fontId="30" fillId="7" borderId="39" xfId="0" applyFont="1" applyFill="1" applyBorder="1" applyAlignment="1" applyProtection="1">
      <alignment horizontal="center" vertical="center"/>
    </xf>
    <xf numFmtId="0" fontId="30" fillId="7" borderId="65" xfId="0" applyFont="1" applyFill="1" applyBorder="1" applyAlignment="1" applyProtection="1">
      <alignment horizontal="center" vertical="center"/>
    </xf>
    <xf numFmtId="0" fontId="33" fillId="0" borderId="5" xfId="0" applyFont="1" applyFill="1" applyBorder="1" applyAlignment="1" applyProtection="1">
      <alignment horizontal="center" vertical="center"/>
      <protection locked="0"/>
    </xf>
    <xf numFmtId="166" fontId="32" fillId="0" borderId="0" xfId="0" applyNumberFormat="1" applyFont="1" applyFill="1" applyProtection="1"/>
    <xf numFmtId="0" fontId="30" fillId="0" borderId="0" xfId="0" applyFont="1" applyProtection="1"/>
    <xf numFmtId="0" fontId="32" fillId="0" borderId="0" xfId="0" applyFont="1" applyFill="1" applyProtection="1"/>
    <xf numFmtId="0" fontId="30" fillId="2" borderId="0" xfId="0" applyFont="1" applyFill="1" applyBorder="1" applyProtection="1"/>
    <xf numFmtId="0" fontId="30" fillId="0" borderId="0" xfId="0" applyFont="1" applyFill="1" applyBorder="1" applyProtection="1"/>
    <xf numFmtId="2" fontId="30" fillId="0" borderId="0" xfId="0" applyNumberFormat="1" applyFont="1" applyFill="1" applyBorder="1" applyProtection="1"/>
    <xf numFmtId="2" fontId="30" fillId="0" borderId="0" xfId="0" applyNumberFormat="1" applyFont="1" applyFill="1" applyProtection="1"/>
    <xf numFmtId="0" fontId="30" fillId="2" borderId="56" xfId="0" applyFont="1" applyFill="1" applyBorder="1" applyProtection="1"/>
    <xf numFmtId="0" fontId="30" fillId="2" borderId="0" xfId="0" applyFont="1" applyFill="1" applyBorder="1" applyProtection="1">
      <protection locked="0"/>
    </xf>
    <xf numFmtId="0" fontId="30" fillId="2" borderId="9" xfId="0" applyFont="1" applyFill="1" applyBorder="1" applyProtection="1">
      <protection locked="0"/>
    </xf>
    <xf numFmtId="0" fontId="30" fillId="0" borderId="13" xfId="0" applyFont="1" applyBorder="1" applyProtection="1">
      <protection locked="0"/>
    </xf>
    <xf numFmtId="0" fontId="30" fillId="2" borderId="13" xfId="0" applyFont="1" applyFill="1" applyBorder="1" applyProtection="1">
      <protection locked="0"/>
    </xf>
    <xf numFmtId="2" fontId="30" fillId="0" borderId="0" xfId="0" applyNumberFormat="1" applyFont="1" applyFill="1" applyBorder="1" applyAlignment="1" applyProtection="1">
      <alignment horizontal="left" vertical="center"/>
    </xf>
    <xf numFmtId="2" fontId="30" fillId="0" borderId="0" xfId="0" applyNumberFormat="1" applyFont="1" applyFill="1" applyBorder="1" applyAlignment="1" applyProtection="1">
      <alignment horizontal="right"/>
    </xf>
    <xf numFmtId="0" fontId="30" fillId="0" borderId="0" xfId="0" applyFont="1" applyFill="1" applyBorder="1" applyAlignment="1" applyProtection="1">
      <alignment horizontal="left" vertical="center"/>
    </xf>
    <xf numFmtId="2" fontId="30" fillId="0" borderId="0" xfId="0" applyNumberFormat="1" applyFont="1" applyBorder="1" applyProtection="1"/>
    <xf numFmtId="1" fontId="30" fillId="0" borderId="0" xfId="0" applyNumberFormat="1" applyFont="1" applyFill="1" applyProtection="1"/>
    <xf numFmtId="166" fontId="30" fillId="0" borderId="0" xfId="0" applyNumberFormat="1" applyFont="1" applyFill="1" applyProtection="1"/>
    <xf numFmtId="165" fontId="30" fillId="0" borderId="0" xfId="0" applyNumberFormat="1" applyFont="1" applyFill="1" applyBorder="1" applyProtection="1"/>
    <xf numFmtId="165" fontId="30" fillId="0" borderId="0" xfId="0" applyNumberFormat="1" applyFont="1" applyFill="1" applyProtection="1"/>
    <xf numFmtId="0" fontId="30" fillId="7" borderId="5" xfId="0" applyFont="1" applyFill="1" applyBorder="1" applyAlignment="1" applyProtection="1">
      <alignment vertical="center"/>
    </xf>
    <xf numFmtId="165" fontId="30" fillId="6" borderId="0" xfId="0" applyNumberFormat="1" applyFont="1" applyFill="1" applyAlignment="1" applyProtection="1">
      <alignment horizontal="center"/>
      <protection locked="0"/>
    </xf>
    <xf numFmtId="0" fontId="30" fillId="0" borderId="0" xfId="0" applyFont="1" applyFill="1" applyBorder="1" applyAlignment="1" applyProtection="1">
      <alignment horizontal="center" vertical="center" wrapText="1"/>
    </xf>
    <xf numFmtId="0" fontId="30" fillId="0" borderId="7" xfId="0" applyFont="1" applyFill="1" applyBorder="1" applyAlignment="1" applyProtection="1">
      <alignment horizontal="center" vertical="center" wrapText="1"/>
    </xf>
    <xf numFmtId="0" fontId="30" fillId="2" borderId="11" xfId="0" applyFont="1" applyFill="1" applyBorder="1" applyProtection="1"/>
    <xf numFmtId="0" fontId="34" fillId="0" borderId="9" xfId="0" applyFont="1" applyBorder="1" applyProtection="1"/>
    <xf numFmtId="0" fontId="30" fillId="2" borderId="27" xfId="0" applyFont="1" applyFill="1" applyBorder="1" applyAlignment="1" applyProtection="1">
      <alignment horizontal="centerContinuous"/>
    </xf>
    <xf numFmtId="165" fontId="30" fillId="0" borderId="0" xfId="0" applyNumberFormat="1" applyFont="1" applyBorder="1" applyAlignment="1" applyProtection="1"/>
    <xf numFmtId="2" fontId="30" fillId="0" borderId="0" xfId="0" applyNumberFormat="1" applyFont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center" vertical="center"/>
    </xf>
    <xf numFmtId="165" fontId="30" fillId="0" borderId="0" xfId="0" applyNumberFormat="1" applyFont="1" applyBorder="1" applyAlignment="1" applyProtection="1">
      <alignment horizontal="center" vertical="center"/>
    </xf>
    <xf numFmtId="0" fontId="30" fillId="0" borderId="13" xfId="0" applyFont="1" applyBorder="1" applyAlignment="1" applyProtection="1">
      <alignment horizontal="left" vertical="center"/>
    </xf>
    <xf numFmtId="0" fontId="30" fillId="2" borderId="76" xfId="0" applyFont="1" applyFill="1" applyBorder="1" applyAlignment="1" applyProtection="1">
      <alignment horizontal="center" vertical="center" wrapText="1"/>
    </xf>
    <xf numFmtId="0" fontId="30" fillId="2" borderId="63" xfId="0" applyFont="1" applyFill="1" applyBorder="1" applyAlignment="1" applyProtection="1">
      <alignment horizontal="center" vertical="center" wrapText="1"/>
    </xf>
    <xf numFmtId="0" fontId="30" fillId="2" borderId="36" xfId="0" applyFont="1" applyFill="1" applyBorder="1" applyAlignment="1" applyProtection="1">
      <alignment horizontal="center" vertical="center" wrapText="1"/>
    </xf>
    <xf numFmtId="0" fontId="30" fillId="2" borderId="35" xfId="0" applyFont="1" applyFill="1" applyBorder="1" applyAlignment="1" applyProtection="1">
      <alignment horizontal="center" vertical="center" wrapText="1"/>
    </xf>
    <xf numFmtId="0" fontId="30" fillId="2" borderId="77" xfId="0" applyFont="1" applyFill="1" applyBorder="1" applyAlignment="1" applyProtection="1">
      <alignment horizontal="center" vertical="center" wrapText="1"/>
    </xf>
    <xf numFmtId="0" fontId="30" fillId="2" borderId="0" xfId="0" applyFont="1" applyFill="1" applyBorder="1" applyAlignment="1" applyProtection="1">
      <alignment vertical="center"/>
    </xf>
    <xf numFmtId="0" fontId="30" fillId="2" borderId="56" xfId="0" applyFont="1" applyFill="1" applyBorder="1" applyAlignment="1" applyProtection="1">
      <alignment vertical="center"/>
    </xf>
    <xf numFmtId="0" fontId="30" fillId="2" borderId="80" xfId="0" applyFont="1" applyFill="1" applyBorder="1" applyAlignment="1" applyProtection="1">
      <alignment vertical="center"/>
    </xf>
    <xf numFmtId="0" fontId="30" fillId="2" borderId="82" xfId="0" applyFont="1" applyFill="1" applyBorder="1" applyAlignment="1" applyProtection="1">
      <alignment vertical="center"/>
    </xf>
    <xf numFmtId="0" fontId="1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30" fillId="2" borderId="78" xfId="0" applyFont="1" applyFill="1" applyBorder="1" applyAlignment="1" applyProtection="1">
      <alignment horizontal="left" vertical="center"/>
    </xf>
    <xf numFmtId="0" fontId="30" fillId="2" borderId="73" xfId="0" applyFont="1" applyFill="1" applyBorder="1" applyAlignment="1" applyProtection="1">
      <alignment horizontal="left" vertical="center"/>
    </xf>
    <xf numFmtId="0" fontId="30" fillId="2" borderId="74" xfId="0" applyFont="1" applyFill="1" applyBorder="1" applyAlignment="1" applyProtection="1">
      <alignment horizontal="left" vertical="center"/>
    </xf>
    <xf numFmtId="0" fontId="30" fillId="2" borderId="79" xfId="0" applyFont="1" applyFill="1" applyBorder="1" applyAlignment="1" applyProtection="1">
      <alignment horizontal="left" vertical="center"/>
    </xf>
    <xf numFmtId="0" fontId="30" fillId="2" borderId="80" xfId="0" applyFont="1" applyFill="1" applyBorder="1" applyAlignment="1" applyProtection="1">
      <alignment horizontal="left" vertical="center"/>
    </xf>
    <xf numFmtId="0" fontId="30" fillId="2" borderId="81" xfId="0" applyFont="1" applyFill="1" applyBorder="1" applyAlignment="1" applyProtection="1">
      <alignment horizontal="left" vertical="center"/>
    </xf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center"/>
    </xf>
    <xf numFmtId="165" fontId="30" fillId="0" borderId="0" xfId="0" applyNumberFormat="1" applyFont="1" applyBorder="1" applyAlignment="1" applyProtection="1">
      <alignment horizontal="center" vertical="center"/>
    </xf>
    <xf numFmtId="0" fontId="30" fillId="0" borderId="57" xfId="0" applyFont="1" applyBorder="1" applyAlignment="1" applyProtection="1">
      <alignment horizontal="left" vertical="center"/>
    </xf>
    <xf numFmtId="0" fontId="30" fillId="0" borderId="52" xfId="0" applyFont="1" applyBorder="1" applyAlignment="1" applyProtection="1">
      <alignment horizontal="left" vertical="center"/>
    </xf>
    <xf numFmtId="0" fontId="30" fillId="0" borderId="60" xfId="0" applyFont="1" applyBorder="1" applyAlignment="1" applyProtection="1">
      <alignment horizontal="left" vertical="center"/>
    </xf>
    <xf numFmtId="0" fontId="30" fillId="0" borderId="61" xfId="0" applyFont="1" applyBorder="1" applyAlignment="1" applyProtection="1">
      <alignment horizontal="left" vertical="center"/>
    </xf>
    <xf numFmtId="0" fontId="30" fillId="0" borderId="13" xfId="0" applyFont="1" applyFill="1" applyBorder="1" applyAlignment="1" applyProtection="1">
      <alignment horizontal="left" vertical="center" wrapText="1"/>
    </xf>
    <xf numFmtId="0" fontId="30" fillId="0" borderId="14" xfId="0" applyFont="1" applyFill="1" applyBorder="1" applyAlignment="1" applyProtection="1">
      <alignment horizontal="left" vertical="center" wrapText="1"/>
    </xf>
    <xf numFmtId="0" fontId="30" fillId="2" borderId="72" xfId="0" applyFont="1" applyFill="1" applyBorder="1" applyAlignment="1" applyProtection="1">
      <alignment vertical="center"/>
    </xf>
    <xf numFmtId="0" fontId="30" fillId="2" borderId="73" xfId="0" applyFont="1" applyFill="1" applyBorder="1" applyAlignment="1" applyProtection="1">
      <alignment vertical="center"/>
    </xf>
    <xf numFmtId="0" fontId="30" fillId="5" borderId="35" xfId="0" applyFont="1" applyFill="1" applyBorder="1" applyAlignment="1" applyProtection="1">
      <alignment horizontal="center" vertical="center" wrapText="1"/>
    </xf>
    <xf numFmtId="0" fontId="30" fillId="5" borderId="63" xfId="0" applyFont="1" applyFill="1" applyBorder="1" applyAlignment="1" applyProtection="1">
      <alignment horizontal="center" vertical="center" wrapText="1"/>
    </xf>
    <xf numFmtId="0" fontId="30" fillId="5" borderId="36" xfId="0" applyFont="1" applyFill="1" applyBorder="1" applyAlignment="1" applyProtection="1">
      <alignment horizontal="center" vertical="center" wrapText="1"/>
    </xf>
    <xf numFmtId="0" fontId="30" fillId="0" borderId="38" xfId="0" applyFont="1" applyBorder="1" applyAlignment="1" applyProtection="1">
      <alignment horizontal="left" vertical="center"/>
    </xf>
    <xf numFmtId="0" fontId="30" fillId="0" borderId="39" xfId="0" applyFont="1" applyBorder="1" applyAlignment="1" applyProtection="1">
      <alignment horizontal="left" vertical="center"/>
    </xf>
    <xf numFmtId="0" fontId="30" fillId="7" borderId="57" xfId="0" applyFont="1" applyFill="1" applyBorder="1" applyAlignment="1" applyProtection="1">
      <alignment horizontal="left" vertical="center"/>
    </xf>
    <xf numFmtId="0" fontId="30" fillId="7" borderId="52" xfId="0" applyFont="1" applyFill="1" applyBorder="1" applyAlignment="1" applyProtection="1">
      <alignment horizontal="left" vertical="center"/>
    </xf>
    <xf numFmtId="0" fontId="22" fillId="0" borderId="0" xfId="0" applyFont="1" applyBorder="1" applyAlignment="1" applyProtection="1">
      <alignment horizontal="center"/>
    </xf>
    <xf numFmtId="0" fontId="30" fillId="7" borderId="60" xfId="0" applyFont="1" applyFill="1" applyBorder="1" applyAlignment="1" applyProtection="1">
      <alignment horizontal="left" vertical="center"/>
    </xf>
    <xf numFmtId="0" fontId="30" fillId="7" borderId="61" xfId="0" applyFont="1" applyFill="1" applyBorder="1" applyAlignment="1" applyProtection="1">
      <alignment horizontal="left" vertical="center"/>
    </xf>
    <xf numFmtId="0" fontId="30" fillId="0" borderId="13" xfId="0" applyFont="1" applyFill="1" applyBorder="1" applyAlignment="1" applyProtection="1">
      <alignment horizontal="center" vertical="center" wrapText="1"/>
    </xf>
    <xf numFmtId="0" fontId="30" fillId="0" borderId="14" xfId="0" applyFont="1" applyFill="1" applyBorder="1" applyAlignment="1" applyProtection="1">
      <alignment horizontal="center" vertical="center" wrapText="1"/>
    </xf>
    <xf numFmtId="0" fontId="30" fillId="2" borderId="39" xfId="0" applyFont="1" applyFill="1" applyBorder="1" applyAlignment="1" applyProtection="1">
      <alignment horizontal="center" vertical="center"/>
    </xf>
    <xf numFmtId="0" fontId="30" fillId="2" borderId="47" xfId="0" applyFont="1" applyFill="1" applyBorder="1" applyAlignment="1" applyProtection="1">
      <alignment horizontal="center" vertical="center"/>
    </xf>
    <xf numFmtId="0" fontId="30" fillId="2" borderId="40" xfId="0" applyFont="1" applyFill="1" applyBorder="1" applyAlignment="1" applyProtection="1">
      <alignment horizontal="center" vertical="center"/>
    </xf>
    <xf numFmtId="0" fontId="30" fillId="2" borderId="48" xfId="0" applyFont="1" applyFill="1" applyBorder="1" applyAlignment="1" applyProtection="1">
      <alignment horizontal="center" vertical="center"/>
    </xf>
    <xf numFmtId="0" fontId="30" fillId="0" borderId="51" xfId="0" applyFont="1" applyBorder="1" applyAlignment="1" applyProtection="1">
      <alignment horizontal="left" vertical="center"/>
    </xf>
    <xf numFmtId="0" fontId="30" fillId="0" borderId="54" xfId="0" applyFont="1" applyBorder="1" applyAlignment="1" applyProtection="1">
      <alignment horizontal="left" vertical="center"/>
    </xf>
    <xf numFmtId="0" fontId="30" fillId="7" borderId="35" xfId="0" applyFont="1" applyFill="1" applyBorder="1" applyAlignment="1" applyProtection="1">
      <alignment horizontal="center" vertical="center"/>
    </xf>
    <xf numFmtId="0" fontId="30" fillId="7" borderId="63" xfId="0" applyFont="1" applyFill="1" applyBorder="1" applyAlignment="1" applyProtection="1">
      <alignment horizontal="center" vertical="center"/>
    </xf>
    <xf numFmtId="0" fontId="30" fillId="7" borderId="64" xfId="0" applyFont="1" applyFill="1" applyBorder="1" applyAlignment="1" applyProtection="1">
      <alignment horizontal="center" vertical="center" wrapText="1"/>
    </xf>
    <xf numFmtId="0" fontId="30" fillId="7" borderId="66" xfId="0" applyFont="1" applyFill="1" applyBorder="1" applyAlignment="1" applyProtection="1">
      <alignment horizontal="center" vertical="center" wrapText="1"/>
    </xf>
    <xf numFmtId="0" fontId="30" fillId="7" borderId="38" xfId="0" applyFont="1" applyFill="1" applyBorder="1" applyAlignment="1" applyProtection="1">
      <alignment horizontal="center" vertical="center"/>
    </xf>
    <xf numFmtId="0" fontId="30" fillId="7" borderId="39" xfId="0" applyFont="1" applyFill="1" applyBorder="1" applyAlignment="1" applyProtection="1">
      <alignment horizontal="center" vertical="center"/>
    </xf>
    <xf numFmtId="0" fontId="30" fillId="0" borderId="12" xfId="0" applyFont="1" applyBorder="1" applyAlignment="1" applyProtection="1">
      <alignment horizontal="left" vertical="center"/>
    </xf>
    <xf numFmtId="0" fontId="30" fillId="0" borderId="13" xfId="0" applyFont="1" applyBorder="1" applyAlignment="1" applyProtection="1">
      <alignment horizontal="left" vertical="center"/>
    </xf>
    <xf numFmtId="0" fontId="30" fillId="0" borderId="15" xfId="0" applyFont="1" applyBorder="1" applyAlignment="1" applyProtection="1">
      <alignment horizontal="left" vertical="center"/>
    </xf>
    <xf numFmtId="0" fontId="30" fillId="0" borderId="16" xfId="0" applyFont="1" applyFill="1" applyBorder="1" applyAlignment="1" applyProtection="1">
      <alignment horizontal="left" vertical="center" wrapText="1"/>
    </xf>
    <xf numFmtId="0" fontId="30" fillId="0" borderId="17" xfId="0" applyFont="1" applyFill="1" applyBorder="1" applyAlignment="1" applyProtection="1">
      <alignment horizontal="left" vertical="center" wrapText="1"/>
    </xf>
    <xf numFmtId="0" fontId="30" fillId="2" borderId="21" xfId="0" applyFont="1" applyFill="1" applyBorder="1" applyAlignment="1" applyProtection="1">
      <alignment horizontal="center" vertical="center" wrapText="1"/>
    </xf>
    <xf numFmtId="0" fontId="30" fillId="2" borderId="22" xfId="0" applyFont="1" applyFill="1" applyBorder="1" applyAlignment="1" applyProtection="1">
      <alignment horizontal="center" vertical="center" wrapText="1"/>
    </xf>
    <xf numFmtId="0" fontId="30" fillId="2" borderId="23" xfId="0" applyFont="1" applyFill="1" applyBorder="1" applyAlignment="1" applyProtection="1">
      <alignment horizontal="center" vertical="center" wrapText="1"/>
    </xf>
    <xf numFmtId="0" fontId="30" fillId="2" borderId="24" xfId="0" applyFont="1" applyFill="1" applyBorder="1" applyAlignment="1" applyProtection="1">
      <alignment horizontal="center" vertical="center" wrapText="1"/>
    </xf>
    <xf numFmtId="0" fontId="30" fillId="2" borderId="25" xfId="0" applyFont="1" applyFill="1" applyBorder="1" applyAlignment="1" applyProtection="1">
      <alignment horizontal="center" vertical="center" wrapText="1"/>
    </xf>
    <xf numFmtId="0" fontId="30" fillId="2" borderId="26" xfId="0" applyFont="1" applyFill="1" applyBorder="1" applyAlignment="1" applyProtection="1">
      <alignment horizontal="center" vertical="center" wrapText="1"/>
    </xf>
    <xf numFmtId="0" fontId="30" fillId="3" borderId="30" xfId="0" applyFont="1" applyFill="1" applyBorder="1" applyAlignment="1" applyProtection="1">
      <alignment horizontal="center" vertical="center"/>
    </xf>
    <xf numFmtId="0" fontId="30" fillId="3" borderId="31" xfId="0" applyFont="1" applyFill="1" applyBorder="1" applyAlignment="1" applyProtection="1">
      <alignment horizontal="center" vertical="center"/>
    </xf>
    <xf numFmtId="0" fontId="30" fillId="3" borderId="32" xfId="0" applyFont="1" applyFill="1" applyBorder="1" applyAlignment="1" applyProtection="1">
      <alignment horizontal="center" vertical="center"/>
    </xf>
    <xf numFmtId="0" fontId="30" fillId="3" borderId="35" xfId="0" applyFont="1" applyFill="1" applyBorder="1" applyAlignment="1" applyProtection="1">
      <alignment horizontal="center" vertical="center"/>
    </xf>
    <xf numFmtId="0" fontId="30" fillId="3" borderId="36" xfId="0" applyFont="1" applyFill="1" applyBorder="1" applyAlignment="1" applyProtection="1">
      <alignment horizontal="center" vertical="center"/>
    </xf>
    <xf numFmtId="0" fontId="30" fillId="3" borderId="37" xfId="0" applyFont="1" applyFill="1" applyBorder="1" applyAlignment="1" applyProtection="1">
      <alignment horizontal="center" vertical="center" wrapText="1"/>
    </xf>
    <xf numFmtId="0" fontId="30" fillId="3" borderId="44" xfId="0" applyFont="1" applyFill="1" applyBorder="1" applyAlignment="1" applyProtection="1">
      <alignment horizontal="center" vertical="center" wrapText="1"/>
    </xf>
    <xf numFmtId="0" fontId="30" fillId="2" borderId="38" xfId="0" applyFont="1" applyFill="1" applyBorder="1" applyAlignment="1" applyProtection="1">
      <alignment horizontal="center" vertical="center"/>
    </xf>
    <xf numFmtId="0" fontId="30" fillId="2" borderId="46" xfId="0" applyFont="1" applyFill="1" applyBorder="1" applyAlignment="1" applyProtection="1">
      <alignment horizontal="center" vertical="center"/>
    </xf>
    <xf numFmtId="0" fontId="30" fillId="0" borderId="19" xfId="0" applyFont="1" applyBorder="1" applyAlignment="1" applyProtection="1">
      <alignment horizontal="left" vertical="top"/>
    </xf>
    <xf numFmtId="0" fontId="30" fillId="0" borderId="13" xfId="0" applyFont="1" applyBorder="1" applyAlignment="1" applyProtection="1">
      <alignment horizontal="left" vertical="top"/>
    </xf>
    <xf numFmtId="0" fontId="30" fillId="0" borderId="14" xfId="0" applyFont="1" applyBorder="1" applyAlignment="1" applyProtection="1">
      <alignment horizontal="left" vertical="top"/>
    </xf>
    <xf numFmtId="164" fontId="10" fillId="0" borderId="18" xfId="0" applyNumberFormat="1" applyFont="1" applyFill="1" applyBorder="1" applyAlignment="1" applyProtection="1">
      <alignment horizontal="left"/>
      <protection locked="0"/>
    </xf>
    <xf numFmtId="164" fontId="10" fillId="0" borderId="0" xfId="0" applyNumberFormat="1" applyFont="1" applyFill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</xf>
    <xf numFmtId="0" fontId="1" fillId="0" borderId="13" xfId="0" applyFont="1" applyBorder="1" applyAlignment="1" applyProtection="1">
      <alignment horizontal="left"/>
    </xf>
    <xf numFmtId="0" fontId="1" fillId="0" borderId="14" xfId="0" applyFont="1" applyBorder="1" applyAlignment="1" applyProtection="1">
      <alignment horizontal="left"/>
    </xf>
    <xf numFmtId="0" fontId="1" fillId="0" borderId="5" xfId="0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8" fillId="3" borderId="107" xfId="0" applyFont="1" applyFill="1" applyBorder="1" applyAlignment="1" applyProtection="1">
      <alignment horizontal="center" vertical="center" wrapText="1"/>
    </xf>
    <xf numFmtId="0" fontId="8" fillId="3" borderId="22" xfId="0" applyFont="1" applyFill="1" applyBorder="1" applyAlignment="1" applyProtection="1">
      <alignment horizontal="center" vertical="center" wrapText="1"/>
    </xf>
    <xf numFmtId="0" fontId="8" fillId="3" borderId="108" xfId="0" applyFont="1" applyFill="1" applyBorder="1" applyAlignment="1" applyProtection="1">
      <alignment horizontal="center" vertical="center" wrapText="1"/>
    </xf>
    <xf numFmtId="0" fontId="8" fillId="3" borderId="8" xfId="0" applyFont="1" applyFill="1" applyBorder="1" applyAlignment="1" applyProtection="1">
      <alignment horizontal="center" vertical="center" wrapText="1"/>
    </xf>
    <xf numFmtId="0" fontId="8" fillId="3" borderId="9" xfId="0" applyFont="1" applyFill="1" applyBorder="1" applyAlignment="1" applyProtection="1">
      <alignment horizontal="center" vertical="center" wrapText="1"/>
    </xf>
    <xf numFmtId="0" fontId="8" fillId="3" borderId="10" xfId="0" applyFont="1" applyFill="1" applyBorder="1" applyAlignment="1" applyProtection="1">
      <alignment horizontal="center" vertical="center" wrapText="1"/>
    </xf>
    <xf numFmtId="14" fontId="5" fillId="7" borderId="5" xfId="0" applyNumberFormat="1" applyFont="1" applyFill="1" applyBorder="1" applyAlignment="1" applyProtection="1">
      <alignment horizontal="center" vertical="center"/>
    </xf>
    <xf numFmtId="0" fontId="30" fillId="7" borderId="12" xfId="0" applyFont="1" applyFill="1" applyBorder="1" applyAlignment="1" applyProtection="1">
      <alignment horizontal="center" vertical="center"/>
    </xf>
    <xf numFmtId="0" fontId="30" fillId="7" borderId="13" xfId="0" applyFont="1" applyFill="1" applyBorder="1" applyAlignment="1" applyProtection="1">
      <alignment horizontal="center" vertical="center"/>
    </xf>
    <xf numFmtId="0" fontId="30" fillId="7" borderId="14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/>
    </xf>
    <xf numFmtId="0" fontId="30" fillId="7" borderId="5" xfId="0" applyFont="1" applyFill="1" applyBorder="1" applyAlignment="1" applyProtection="1">
      <alignment horizontal="left" vertical="center" wrapText="1"/>
    </xf>
    <xf numFmtId="0" fontId="30" fillId="7" borderId="15" xfId="0" applyFont="1" applyFill="1" applyBorder="1" applyAlignment="1" applyProtection="1">
      <alignment horizontal="center" vertical="center"/>
    </xf>
    <xf numFmtId="0" fontId="4" fillId="2" borderId="76" xfId="0" applyFont="1" applyFill="1" applyBorder="1" applyAlignment="1" applyProtection="1">
      <alignment horizontal="center" vertical="center" wrapText="1"/>
    </xf>
    <xf numFmtId="0" fontId="4" fillId="2" borderId="63" xfId="0" applyFont="1" applyFill="1" applyBorder="1" applyAlignment="1" applyProtection="1">
      <alignment horizontal="center" vertical="center" wrapText="1"/>
    </xf>
    <xf numFmtId="0" fontId="4" fillId="2" borderId="36" xfId="0" applyFont="1" applyFill="1" applyBorder="1" applyAlignment="1" applyProtection="1">
      <alignment horizontal="center" vertical="center" wrapText="1"/>
    </xf>
    <xf numFmtId="0" fontId="4" fillId="2" borderId="35" xfId="0" applyFont="1" applyFill="1" applyBorder="1" applyAlignment="1" applyProtection="1">
      <alignment horizontal="center" vertical="center" wrapText="1"/>
    </xf>
    <xf numFmtId="0" fontId="4" fillId="2" borderId="77" xfId="0" applyFont="1" applyFill="1" applyBorder="1" applyAlignment="1" applyProtection="1">
      <alignment horizontal="center" vertical="center" wrapText="1"/>
    </xf>
    <xf numFmtId="0" fontId="4" fillId="2" borderId="78" xfId="0" applyFont="1" applyFill="1" applyBorder="1" applyAlignment="1" applyProtection="1">
      <alignment vertical="center"/>
    </xf>
    <xf numFmtId="0" fontId="4" fillId="2" borderId="73" xfId="0" applyFont="1" applyFill="1" applyBorder="1" applyAlignment="1" applyProtection="1">
      <alignment vertical="center"/>
    </xf>
    <xf numFmtId="0" fontId="4" fillId="2" borderId="74" xfId="0" applyFont="1" applyFill="1" applyBorder="1" applyAlignment="1" applyProtection="1">
      <alignment vertical="center"/>
    </xf>
    <xf numFmtId="0" fontId="4" fillId="2" borderId="79" xfId="0" applyFont="1" applyFill="1" applyBorder="1" applyAlignment="1" applyProtection="1">
      <alignment vertical="center"/>
    </xf>
    <xf numFmtId="0" fontId="4" fillId="2" borderId="80" xfId="0" applyFont="1" applyFill="1" applyBorder="1" applyAlignment="1" applyProtection="1">
      <alignment vertical="center"/>
    </xf>
    <xf numFmtId="0" fontId="4" fillId="2" borderId="81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4" fillId="2" borderId="56" xfId="0" applyFont="1" applyFill="1" applyBorder="1" applyAlignment="1" applyProtection="1">
      <alignment vertical="center"/>
    </xf>
    <xf numFmtId="0" fontId="4" fillId="2" borderId="82" xfId="0" applyFont="1" applyFill="1" applyBorder="1" applyAlignment="1" applyProtection="1">
      <alignment vertical="center"/>
    </xf>
    <xf numFmtId="165" fontId="0" fillId="0" borderId="0" xfId="0" applyNumberFormat="1" applyBorder="1" applyAlignment="1" applyProtection="1">
      <alignment horizontal="center" vertical="center"/>
    </xf>
    <xf numFmtId="0" fontId="4" fillId="0" borderId="57" xfId="0" applyFont="1" applyBorder="1" applyAlignment="1" applyProtection="1">
      <alignment horizontal="left" vertical="center"/>
    </xf>
    <xf numFmtId="0" fontId="4" fillId="0" borderId="52" xfId="0" applyFont="1" applyBorder="1" applyAlignment="1" applyProtection="1">
      <alignment horizontal="left" vertical="center"/>
    </xf>
    <xf numFmtId="0" fontId="5" fillId="0" borderId="60" xfId="0" applyFont="1" applyBorder="1" applyAlignment="1" applyProtection="1">
      <alignment horizontal="left" vertical="center"/>
    </xf>
    <xf numFmtId="0" fontId="5" fillId="0" borderId="61" xfId="0" applyFont="1" applyBorder="1" applyAlignment="1" applyProtection="1">
      <alignment horizontal="left" vertical="center"/>
    </xf>
    <xf numFmtId="165" fontId="1" fillId="0" borderId="0" xfId="0" applyNumberFormat="1" applyFont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left" vertical="center" wrapText="1"/>
    </xf>
    <xf numFmtId="0" fontId="11" fillId="0" borderId="14" xfId="0" applyFont="1" applyFill="1" applyBorder="1" applyAlignment="1" applyProtection="1">
      <alignment horizontal="left" vertical="center" wrapText="1"/>
    </xf>
    <xf numFmtId="0" fontId="3" fillId="2" borderId="72" xfId="0" applyFont="1" applyFill="1" applyBorder="1" applyAlignment="1" applyProtection="1">
      <alignment vertical="center"/>
    </xf>
    <xf numFmtId="0" fontId="3" fillId="2" borderId="73" xfId="0" applyFont="1" applyFill="1" applyBorder="1" applyAlignment="1" applyProtection="1">
      <alignment vertical="center"/>
    </xf>
    <xf numFmtId="0" fontId="5" fillId="5" borderId="35" xfId="0" applyFont="1" applyFill="1" applyBorder="1" applyAlignment="1" applyProtection="1">
      <alignment horizontal="center" vertical="center" wrapText="1"/>
    </xf>
    <xf numFmtId="0" fontId="5" fillId="5" borderId="63" xfId="0" applyFont="1" applyFill="1" applyBorder="1" applyAlignment="1" applyProtection="1">
      <alignment horizontal="center" vertical="center" wrapText="1"/>
    </xf>
    <xf numFmtId="0" fontId="5" fillId="5" borderId="36" xfId="0" applyFont="1" applyFill="1" applyBorder="1" applyAlignment="1" applyProtection="1">
      <alignment horizontal="center" vertical="center" wrapText="1"/>
    </xf>
    <xf numFmtId="0" fontId="5" fillId="0" borderId="38" xfId="0" applyFont="1" applyBorder="1" applyAlignment="1" applyProtection="1">
      <alignment horizontal="left" vertical="center"/>
    </xf>
    <xf numFmtId="0" fontId="5" fillId="0" borderId="39" xfId="0" applyFont="1" applyBorder="1" applyAlignment="1" applyProtection="1">
      <alignment horizontal="left" vertical="center"/>
    </xf>
    <xf numFmtId="0" fontId="5" fillId="0" borderId="57" xfId="0" applyFont="1" applyBorder="1" applyAlignment="1" applyProtection="1">
      <alignment horizontal="left" vertical="center"/>
    </xf>
    <xf numFmtId="0" fontId="5" fillId="0" borderId="52" xfId="0" applyFont="1" applyBorder="1" applyAlignment="1" applyProtection="1">
      <alignment horizontal="left" vertical="center"/>
    </xf>
    <xf numFmtId="0" fontId="4" fillId="7" borderId="57" xfId="0" applyFont="1" applyFill="1" applyBorder="1" applyAlignment="1" applyProtection="1">
      <alignment horizontal="left" vertical="center"/>
    </xf>
    <xf numFmtId="0" fontId="4" fillId="7" borderId="52" xfId="0" applyFont="1" applyFill="1" applyBorder="1" applyAlignment="1" applyProtection="1">
      <alignment horizontal="left" vertical="center"/>
    </xf>
    <xf numFmtId="0" fontId="4" fillId="7" borderId="60" xfId="0" applyFont="1" applyFill="1" applyBorder="1" applyAlignment="1" applyProtection="1">
      <alignment horizontal="left" vertical="center"/>
    </xf>
    <xf numFmtId="0" fontId="4" fillId="7" borderId="61" xfId="0" applyFont="1" applyFill="1" applyBorder="1" applyAlignment="1" applyProtection="1">
      <alignment horizontal="left" vertical="center"/>
    </xf>
    <xf numFmtId="0" fontId="11" fillId="0" borderId="13" xfId="0" applyFont="1" applyFill="1" applyBorder="1" applyAlignment="1" applyProtection="1">
      <alignment horizontal="center" vertical="center" wrapText="1"/>
    </xf>
    <xf numFmtId="0" fontId="11" fillId="0" borderId="14" xfId="0" applyFont="1" applyFill="1" applyBorder="1" applyAlignment="1" applyProtection="1">
      <alignment horizontal="center" vertical="center" wrapText="1"/>
    </xf>
    <xf numFmtId="0" fontId="5" fillId="7" borderId="57" xfId="0" applyFont="1" applyFill="1" applyBorder="1" applyAlignment="1" applyProtection="1">
      <alignment horizontal="left" vertical="center"/>
    </xf>
    <xf numFmtId="0" fontId="5" fillId="7" borderId="52" xfId="0" applyFont="1" applyFill="1" applyBorder="1" applyAlignment="1" applyProtection="1">
      <alignment horizontal="left" vertical="center"/>
    </xf>
    <xf numFmtId="0" fontId="3" fillId="2" borderId="39" xfId="0" applyFont="1" applyFill="1" applyBorder="1" applyAlignment="1" applyProtection="1">
      <alignment horizontal="center" vertical="center"/>
    </xf>
    <xf numFmtId="0" fontId="3" fillId="2" borderId="47" xfId="0" applyFont="1" applyFill="1" applyBorder="1" applyAlignment="1" applyProtection="1">
      <alignment horizontal="center" vertical="center"/>
    </xf>
    <xf numFmtId="0" fontId="3" fillId="2" borderId="40" xfId="0" applyFont="1" applyFill="1" applyBorder="1" applyAlignment="1" applyProtection="1">
      <alignment horizontal="center" vertical="center"/>
    </xf>
    <xf numFmtId="0" fontId="3" fillId="2" borderId="48" xfId="0" applyFont="1" applyFill="1" applyBorder="1" applyAlignment="1" applyProtection="1">
      <alignment horizontal="center" vertical="center"/>
    </xf>
    <xf numFmtId="0" fontId="5" fillId="0" borderId="51" xfId="0" applyFont="1" applyBorder="1" applyAlignment="1" applyProtection="1">
      <alignment horizontal="left" vertical="center"/>
    </xf>
    <xf numFmtId="0" fontId="5" fillId="0" borderId="54" xfId="0" applyFont="1" applyBorder="1" applyAlignment="1" applyProtection="1">
      <alignment horizontal="left" vertical="center"/>
    </xf>
    <xf numFmtId="0" fontId="5" fillId="7" borderId="35" xfId="0" applyFont="1" applyFill="1" applyBorder="1" applyAlignment="1" applyProtection="1">
      <alignment horizontal="center" vertical="center"/>
    </xf>
    <xf numFmtId="0" fontId="5" fillId="7" borderId="63" xfId="0" applyFont="1" applyFill="1" applyBorder="1" applyAlignment="1" applyProtection="1">
      <alignment horizontal="center" vertical="center"/>
    </xf>
    <xf numFmtId="0" fontId="8" fillId="7" borderId="64" xfId="0" applyFont="1" applyFill="1" applyBorder="1" applyAlignment="1" applyProtection="1">
      <alignment horizontal="center" vertical="center" wrapText="1"/>
    </xf>
    <xf numFmtId="0" fontId="8" fillId="7" borderId="66" xfId="0" applyFont="1" applyFill="1" applyBorder="1" applyAlignment="1" applyProtection="1">
      <alignment horizontal="center" vertical="center" wrapText="1"/>
    </xf>
    <xf numFmtId="0" fontId="3" fillId="7" borderId="38" xfId="0" applyFont="1" applyFill="1" applyBorder="1" applyAlignment="1" applyProtection="1">
      <alignment horizontal="center" vertical="center"/>
    </xf>
    <xf numFmtId="0" fontId="3" fillId="7" borderId="39" xfId="0" applyFont="1" applyFill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left"/>
    </xf>
    <xf numFmtId="0" fontId="1" fillId="0" borderId="15" xfId="0" applyFont="1" applyBorder="1" applyAlignment="1" applyProtection="1">
      <alignment horizontal="left"/>
    </xf>
    <xf numFmtId="0" fontId="9" fillId="0" borderId="16" xfId="0" applyFont="1" applyFill="1" applyBorder="1" applyAlignment="1" applyProtection="1">
      <alignment horizontal="center" vertical="center" wrapText="1"/>
    </xf>
    <xf numFmtId="0" fontId="9" fillId="0" borderId="17" xfId="0" applyFont="1" applyFill="1" applyBorder="1" applyAlignment="1" applyProtection="1">
      <alignment horizontal="center" vertical="center" wrapText="1"/>
    </xf>
    <xf numFmtId="0" fontId="3" fillId="2" borderId="21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horizontal="center" vertical="center" wrapText="1"/>
    </xf>
    <xf numFmtId="0" fontId="3" fillId="2" borderId="23" xfId="0" applyFont="1" applyFill="1" applyBorder="1" applyAlignment="1" applyProtection="1">
      <alignment horizontal="center" vertical="center" wrapText="1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25" xfId="0" applyFont="1" applyFill="1" applyBorder="1" applyAlignment="1" applyProtection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 wrapText="1"/>
    </xf>
    <xf numFmtId="0" fontId="5" fillId="3" borderId="30" xfId="0" applyFont="1" applyFill="1" applyBorder="1" applyAlignment="1" applyProtection="1">
      <alignment horizontal="center" vertical="center"/>
    </xf>
    <xf numFmtId="0" fontId="5" fillId="3" borderId="31" xfId="0" applyFont="1" applyFill="1" applyBorder="1" applyAlignment="1" applyProtection="1">
      <alignment horizontal="center" vertical="center"/>
    </xf>
    <xf numFmtId="0" fontId="5" fillId="3" borderId="32" xfId="0" applyFont="1" applyFill="1" applyBorder="1" applyAlignment="1" applyProtection="1">
      <alignment horizontal="center" vertical="center"/>
    </xf>
    <xf numFmtId="0" fontId="5" fillId="3" borderId="35" xfId="0" applyFont="1" applyFill="1" applyBorder="1" applyAlignment="1" applyProtection="1">
      <alignment horizontal="center"/>
    </xf>
    <xf numFmtId="0" fontId="5" fillId="3" borderId="36" xfId="0" applyFont="1" applyFill="1" applyBorder="1" applyAlignment="1" applyProtection="1">
      <alignment horizontal="center"/>
    </xf>
    <xf numFmtId="0" fontId="16" fillId="3" borderId="37" xfId="0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 applyProtection="1">
      <alignment horizontal="center" vertical="center" wrapText="1"/>
    </xf>
    <xf numFmtId="0" fontId="17" fillId="3" borderId="37" xfId="0" applyFont="1" applyFill="1" applyBorder="1" applyAlignment="1" applyProtection="1">
      <alignment horizontal="center" vertical="center" wrapText="1"/>
    </xf>
    <xf numFmtId="0" fontId="17" fillId="3" borderId="44" xfId="0" applyFont="1" applyFill="1" applyBorder="1" applyAlignment="1" applyProtection="1">
      <alignment horizontal="center" vertical="center" wrapText="1"/>
    </xf>
    <xf numFmtId="0" fontId="3" fillId="2" borderId="38" xfId="0" applyFont="1" applyFill="1" applyBorder="1" applyAlignment="1" applyProtection="1">
      <alignment horizontal="center" vertical="center"/>
    </xf>
    <xf numFmtId="0" fontId="3" fillId="2" borderId="46" xfId="0" applyFont="1" applyFill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left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164" fontId="5" fillId="7" borderId="5" xfId="0" applyNumberFormat="1" applyFont="1" applyFill="1" applyBorder="1" applyAlignment="1" applyProtection="1">
      <alignment horizontal="center" vertical="center"/>
    </xf>
    <xf numFmtId="0" fontId="4" fillId="7" borderId="5" xfId="0" applyFont="1" applyFill="1" applyBorder="1" applyAlignment="1" applyProtection="1">
      <alignment horizontal="center"/>
    </xf>
    <xf numFmtId="0" fontId="8" fillId="7" borderId="5" xfId="0" applyFont="1" applyFill="1" applyBorder="1" applyAlignment="1" applyProtection="1">
      <alignment horizontal="left" vertical="center" wrapText="1"/>
    </xf>
    <xf numFmtId="0" fontId="4" fillId="7" borderId="12" xfId="0" applyFont="1" applyFill="1" applyBorder="1" applyAlignment="1" applyProtection="1">
      <alignment horizontal="center" vertical="center"/>
    </xf>
    <xf numFmtId="0" fontId="4" fillId="7" borderId="15" xfId="0" applyFont="1" applyFill="1" applyBorder="1" applyAlignment="1" applyProtection="1">
      <alignment horizontal="center" vertical="center"/>
    </xf>
    <xf numFmtId="0" fontId="9" fillId="0" borderId="106" xfId="0" applyFont="1" applyFill="1" applyBorder="1" applyAlignment="1" applyProtection="1">
      <alignment horizontal="center" vertical="center" wrapText="1"/>
    </xf>
    <xf numFmtId="164" fontId="5" fillId="7" borderId="12" xfId="0" applyNumberFormat="1" applyFont="1" applyFill="1" applyBorder="1" applyAlignment="1" applyProtection="1">
      <alignment horizontal="center" vertical="center"/>
    </xf>
    <xf numFmtId="164" fontId="5" fillId="7" borderId="13" xfId="0" applyNumberFormat="1" applyFont="1" applyFill="1" applyBorder="1" applyAlignment="1" applyProtection="1">
      <alignment horizontal="center" vertical="center"/>
    </xf>
    <xf numFmtId="164" fontId="5" fillId="7" borderId="14" xfId="0" applyNumberFormat="1" applyFont="1" applyFill="1" applyBorder="1" applyAlignment="1" applyProtection="1">
      <alignment horizontal="center" vertical="center"/>
    </xf>
    <xf numFmtId="0" fontId="4" fillId="7" borderId="12" xfId="0" applyFont="1" applyFill="1" applyBorder="1" applyAlignment="1" applyProtection="1">
      <alignment horizontal="center"/>
    </xf>
    <xf numFmtId="0" fontId="4" fillId="7" borderId="13" xfId="0" applyFont="1" applyFill="1" applyBorder="1" applyAlignment="1" applyProtection="1">
      <alignment horizontal="center"/>
    </xf>
    <xf numFmtId="0" fontId="4" fillId="7" borderId="14" xfId="0" applyFont="1" applyFill="1" applyBorder="1" applyAlignment="1" applyProtection="1">
      <alignment horizontal="center"/>
    </xf>
    <xf numFmtId="0" fontId="8" fillId="7" borderId="12" xfId="0" applyFont="1" applyFill="1" applyBorder="1" applyAlignment="1" applyProtection="1">
      <alignment horizontal="left" vertical="center" wrapText="1"/>
    </xf>
    <xf numFmtId="0" fontId="8" fillId="7" borderId="14" xfId="0" applyFont="1" applyFill="1" applyBorder="1" applyAlignment="1" applyProtection="1">
      <alignment horizontal="left" vertical="center" wrapText="1"/>
    </xf>
    <xf numFmtId="0" fontId="5" fillId="3" borderId="103" xfId="0" applyFont="1" applyFill="1" applyBorder="1" applyAlignment="1" applyProtection="1">
      <alignment horizontal="center" vertical="center"/>
    </xf>
    <xf numFmtId="0" fontId="5" fillId="3" borderId="104" xfId="0" applyFont="1" applyFill="1" applyBorder="1" applyAlignment="1" applyProtection="1">
      <alignment horizontal="center" vertical="center"/>
    </xf>
    <xf numFmtId="0" fontId="5" fillId="3" borderId="105" xfId="0" applyFont="1" applyFill="1" applyBorder="1" applyAlignment="1" applyProtection="1">
      <alignment horizontal="center" vertical="center"/>
    </xf>
    <xf numFmtId="0" fontId="3" fillId="2" borderId="72" xfId="0" applyFont="1" applyFill="1" applyBorder="1" applyAlignment="1" applyProtection="1">
      <alignment horizontal="center" vertical="center"/>
    </xf>
    <xf numFmtId="0" fontId="3" fillId="2" borderId="100" xfId="0" applyFont="1" applyFill="1" applyBorder="1" applyAlignment="1" applyProtection="1">
      <alignment horizontal="center" vertical="center"/>
    </xf>
    <xf numFmtId="0" fontId="3" fillId="2" borderId="101" xfId="0" applyFont="1" applyFill="1" applyBorder="1" applyAlignment="1" applyProtection="1">
      <alignment horizontal="center" vertical="center"/>
    </xf>
    <xf numFmtId="0" fontId="3" fillId="2" borderId="102" xfId="0" applyFont="1" applyFill="1" applyBorder="1" applyAlignment="1" applyProtection="1">
      <alignment horizontal="center" vertical="center"/>
    </xf>
    <xf numFmtId="0" fontId="3" fillId="2" borderId="98" xfId="0" applyFont="1" applyFill="1" applyBorder="1" applyAlignment="1" applyProtection="1">
      <alignment horizontal="center" vertical="center"/>
    </xf>
    <xf numFmtId="0" fontId="3" fillId="2" borderId="99" xfId="0" applyFont="1" applyFill="1" applyBorder="1" applyAlignment="1" applyProtection="1">
      <alignment horizontal="center" vertical="center"/>
    </xf>
    <xf numFmtId="0" fontId="5" fillId="7" borderId="87" xfId="0" applyFont="1" applyFill="1" applyBorder="1" applyAlignment="1" applyProtection="1">
      <alignment horizontal="left" vertical="center"/>
    </xf>
    <xf numFmtId="0" fontId="5" fillId="7" borderId="58" xfId="0" applyFont="1" applyFill="1" applyBorder="1" applyAlignment="1" applyProtection="1">
      <alignment horizontal="left" vertical="center"/>
    </xf>
    <xf numFmtId="0" fontId="3" fillId="2" borderId="96" xfId="0" applyFont="1" applyFill="1" applyBorder="1" applyAlignment="1" applyProtection="1">
      <alignment horizontal="center" vertical="center"/>
    </xf>
    <xf numFmtId="0" fontId="3" fillId="2" borderId="97" xfId="0" applyFont="1" applyFill="1" applyBorder="1" applyAlignment="1" applyProtection="1">
      <alignment horizontal="center" vertical="center"/>
    </xf>
    <xf numFmtId="0" fontId="5" fillId="0" borderId="94" xfId="0" applyFont="1" applyBorder="1" applyAlignment="1" applyProtection="1">
      <alignment horizontal="left" vertical="center"/>
    </xf>
    <xf numFmtId="0" fontId="5" fillId="0" borderId="95" xfId="0" applyFont="1" applyBorder="1" applyAlignment="1" applyProtection="1">
      <alignment horizontal="left" vertical="center"/>
    </xf>
    <xf numFmtId="0" fontId="4" fillId="7" borderId="87" xfId="0" applyFont="1" applyFill="1" applyBorder="1" applyAlignment="1" applyProtection="1">
      <alignment horizontal="left" vertical="center"/>
    </xf>
    <xf numFmtId="0" fontId="4" fillId="7" borderId="58" xfId="0" applyFont="1" applyFill="1" applyBorder="1" applyAlignment="1" applyProtection="1">
      <alignment horizontal="left" vertical="center"/>
    </xf>
    <xf numFmtId="0" fontId="4" fillId="7" borderId="85" xfId="0" applyFont="1" applyFill="1" applyBorder="1" applyAlignment="1" applyProtection="1">
      <alignment horizontal="left" vertical="center"/>
    </xf>
    <xf numFmtId="0" fontId="4" fillId="7" borderId="69" xfId="0" applyFont="1" applyFill="1" applyBorder="1" applyAlignment="1" applyProtection="1">
      <alignment horizontal="left" vertical="center"/>
    </xf>
    <xf numFmtId="0" fontId="5" fillId="7" borderId="93" xfId="0" applyFont="1" applyFill="1" applyBorder="1" applyAlignment="1" applyProtection="1">
      <alignment horizontal="center" vertical="center"/>
    </xf>
    <xf numFmtId="0" fontId="3" fillId="7" borderId="89" xfId="0" applyFont="1" applyFill="1" applyBorder="1" applyAlignment="1" applyProtection="1">
      <alignment horizontal="center" vertical="center"/>
    </xf>
    <xf numFmtId="0" fontId="3" fillId="7" borderId="91" xfId="0" applyFont="1" applyFill="1" applyBorder="1" applyAlignment="1" applyProtection="1">
      <alignment horizontal="center" vertical="center"/>
    </xf>
    <xf numFmtId="0" fontId="11" fillId="0" borderId="92" xfId="0" applyFont="1" applyFill="1" applyBorder="1" applyAlignment="1" applyProtection="1">
      <alignment horizontal="center" vertical="center" wrapText="1"/>
    </xf>
    <xf numFmtId="0" fontId="11" fillId="0" borderId="92" xfId="0" applyFont="1" applyFill="1" applyBorder="1" applyAlignment="1" applyProtection="1">
      <alignment horizontal="left" vertical="center" wrapText="1"/>
    </xf>
    <xf numFmtId="0" fontId="3" fillId="2" borderId="35" xfId="0" applyFont="1" applyFill="1" applyBorder="1" applyAlignment="1" applyProtection="1">
      <alignment vertical="center"/>
    </xf>
    <xf numFmtId="0" fontId="3" fillId="2" borderId="63" xfId="0" applyFont="1" applyFill="1" applyBorder="1" applyAlignment="1" applyProtection="1">
      <alignment vertical="center"/>
    </xf>
    <xf numFmtId="0" fontId="5" fillId="0" borderId="89" xfId="0" applyFont="1" applyBorder="1" applyAlignment="1" applyProtection="1">
      <alignment horizontal="left" vertical="center"/>
    </xf>
    <xf numFmtId="0" fontId="5" fillId="0" borderId="90" xfId="0" applyFont="1" applyBorder="1" applyAlignment="1" applyProtection="1">
      <alignment horizontal="left" vertical="center"/>
    </xf>
    <xf numFmtId="0" fontId="5" fillId="0" borderId="91" xfId="0" applyFont="1" applyBorder="1" applyAlignment="1" applyProtection="1">
      <alignment horizontal="left" vertical="center"/>
    </xf>
    <xf numFmtId="0" fontId="5" fillId="0" borderId="87" xfId="0" applyFont="1" applyBorder="1" applyAlignment="1" applyProtection="1">
      <alignment horizontal="left" vertical="center"/>
    </xf>
    <xf numFmtId="0" fontId="5" fillId="0" borderId="88" xfId="0" applyFont="1" applyBorder="1" applyAlignment="1" applyProtection="1">
      <alignment horizontal="left" vertical="center"/>
    </xf>
    <xf numFmtId="0" fontId="5" fillId="0" borderId="58" xfId="0" applyFont="1" applyBorder="1" applyAlignment="1" applyProtection="1">
      <alignment horizontal="left" vertical="center"/>
    </xf>
    <xf numFmtId="0" fontId="4" fillId="0" borderId="87" xfId="0" applyFont="1" applyBorder="1" applyAlignment="1" applyProtection="1">
      <alignment horizontal="left" vertical="center"/>
    </xf>
    <xf numFmtId="0" fontId="4" fillId="0" borderId="88" xfId="0" applyFont="1" applyBorder="1" applyAlignment="1" applyProtection="1">
      <alignment horizontal="left" vertical="center"/>
    </xf>
    <xf numFmtId="0" fontId="4" fillId="0" borderId="58" xfId="0" applyFont="1" applyBorder="1" applyAlignment="1" applyProtection="1">
      <alignment horizontal="left" vertical="center"/>
    </xf>
    <xf numFmtId="0" fontId="5" fillId="0" borderId="85" xfId="0" applyFont="1" applyBorder="1" applyAlignment="1" applyProtection="1">
      <alignment horizontal="left" vertical="center"/>
    </xf>
    <xf numFmtId="0" fontId="5" fillId="0" borderId="86" xfId="0" applyFont="1" applyBorder="1" applyAlignment="1" applyProtection="1">
      <alignment horizontal="left" vertical="center"/>
    </xf>
    <xf numFmtId="0" fontId="5" fillId="0" borderId="69" xfId="0" applyFont="1" applyBorder="1" applyAlignment="1" applyProtection="1">
      <alignment horizontal="left" vertical="center"/>
    </xf>
    <xf numFmtId="0" fontId="4" fillId="2" borderId="72" xfId="0" applyFont="1" applyFill="1" applyBorder="1" applyAlignment="1" applyProtection="1">
      <alignment vertical="center"/>
    </xf>
    <xf numFmtId="0" fontId="4" fillId="2" borderId="83" xfId="0" applyFont="1" applyFill="1" applyBorder="1" applyAlignment="1" applyProtection="1">
      <alignment vertical="center"/>
    </xf>
    <xf numFmtId="0" fontId="4" fillId="2" borderId="84" xfId="0" applyFont="1" applyFill="1" applyBorder="1" applyAlignment="1" applyProtection="1">
      <alignment vertical="center"/>
    </xf>
  </cellXfs>
  <cellStyles count="2">
    <cellStyle name="Normal" xfId="0" builtinId="0"/>
    <cellStyle name="Porcentaje" xfId="1" builtinId="5"/>
  </cellStyles>
  <dxfs count="18"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image" Target="../media/image1.jpeg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image" Target="../media/image1.jpeg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image" Target="../media/image1.jpeg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image" Target="../media/image1.jpeg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image" Target="../media/image1.jpeg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93</c:v>
                </c:pt>
                <c:pt idx="10">
                  <c:v>93</c:v>
                </c:pt>
                <c:pt idx="11">
                  <c:v>85</c:v>
                </c:pt>
                <c:pt idx="12">
                  <c:v>85</c:v>
                </c:pt>
                <c:pt idx="1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24032"/>
        <c:axId val="317157376"/>
      </c:scatterChart>
      <c:valAx>
        <c:axId val="309324032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17157376"/>
        <c:crossesAt val="1.0000000000000005E-2"/>
        <c:crossBetween val="midCat"/>
      </c:valAx>
      <c:valAx>
        <c:axId val="3171573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09324032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36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48.789898281304787</c:v>
                </c:pt>
                <c:pt idx="1">
                  <c:v>45.001408054069266</c:v>
                </c:pt>
                <c:pt idx="2">
                  <c:v>42.114858705560614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53664"/>
        <c:axId val="317604992"/>
      </c:scatterChart>
      <c:valAx>
        <c:axId val="31755366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7604992"/>
        <c:crosses val="autoZero"/>
        <c:crossBetween val="midCat"/>
        <c:minorUnit val="10"/>
      </c:valAx>
      <c:valAx>
        <c:axId val="3176049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75536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93</c:v>
                </c:pt>
                <c:pt idx="10">
                  <c:v>93</c:v>
                </c:pt>
                <c:pt idx="11">
                  <c:v>85</c:v>
                </c:pt>
                <c:pt idx="12">
                  <c:v>85</c:v>
                </c:pt>
                <c:pt idx="1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256640"/>
        <c:axId val="338258176"/>
      </c:scatterChart>
      <c:valAx>
        <c:axId val="338256640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38258176"/>
        <c:crossesAt val="1.0000000000000005E-2"/>
        <c:crossBetween val="midCat"/>
      </c:valAx>
      <c:valAx>
        <c:axId val="3382581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256640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36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48.789898281304787</c:v>
                </c:pt>
                <c:pt idx="1">
                  <c:v>45.001408054069266</c:v>
                </c:pt>
                <c:pt idx="2">
                  <c:v>42.114858705560614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580288"/>
        <c:axId val="303582208"/>
      </c:scatterChart>
      <c:valAx>
        <c:axId val="303580288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03582208"/>
        <c:crosses val="autoZero"/>
        <c:crossBetween val="midCat"/>
        <c:minorUnit val="10"/>
      </c:valAx>
      <c:valAx>
        <c:axId val="30358220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035802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93</c:v>
                </c:pt>
                <c:pt idx="10">
                  <c:v>93</c:v>
                </c:pt>
                <c:pt idx="11">
                  <c:v>85</c:v>
                </c:pt>
                <c:pt idx="12">
                  <c:v>85</c:v>
                </c:pt>
                <c:pt idx="1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277056"/>
        <c:axId val="313287040"/>
      </c:scatterChart>
      <c:valAx>
        <c:axId val="313277056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13287040"/>
        <c:crossesAt val="1.0000000000000005E-2"/>
        <c:crossBetween val="midCat"/>
      </c:valAx>
      <c:valAx>
        <c:axId val="31328704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3277056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36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48.789898281304787</c:v>
                </c:pt>
                <c:pt idx="1">
                  <c:v>45.001408054069266</c:v>
                </c:pt>
                <c:pt idx="2">
                  <c:v>42.114858705560614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314304"/>
        <c:axId val="313324672"/>
      </c:scatterChart>
      <c:valAx>
        <c:axId val="31331430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3324672"/>
        <c:crosses val="autoZero"/>
        <c:crossBetween val="midCat"/>
        <c:minorUnit val="10"/>
      </c:valAx>
      <c:valAx>
        <c:axId val="3133246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33143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93</c:v>
                </c:pt>
                <c:pt idx="10">
                  <c:v>93</c:v>
                </c:pt>
                <c:pt idx="11">
                  <c:v>85</c:v>
                </c:pt>
                <c:pt idx="12">
                  <c:v>85</c:v>
                </c:pt>
                <c:pt idx="1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39648"/>
        <c:axId val="316541184"/>
      </c:scatterChart>
      <c:valAx>
        <c:axId val="316539648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16541184"/>
        <c:crossesAt val="1.0000000000000005E-2"/>
        <c:crossBetween val="midCat"/>
      </c:valAx>
      <c:valAx>
        <c:axId val="31654118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6539648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36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48.789898281304787</c:v>
                </c:pt>
                <c:pt idx="1">
                  <c:v>45.001408054069266</c:v>
                </c:pt>
                <c:pt idx="2">
                  <c:v>42.114858705560614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89184"/>
        <c:axId val="316591104"/>
      </c:scatterChart>
      <c:valAx>
        <c:axId val="31658918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6591104"/>
        <c:crosses val="autoZero"/>
        <c:crossBetween val="midCat"/>
        <c:minorUnit val="10"/>
      </c:valAx>
      <c:valAx>
        <c:axId val="3165911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65891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93</c:v>
                </c:pt>
                <c:pt idx="10">
                  <c:v>93</c:v>
                </c:pt>
                <c:pt idx="11">
                  <c:v>85</c:v>
                </c:pt>
                <c:pt idx="12">
                  <c:v>85</c:v>
                </c:pt>
                <c:pt idx="1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278912"/>
        <c:axId val="324292992"/>
      </c:scatterChart>
      <c:valAx>
        <c:axId val="324278912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24292992"/>
        <c:crossesAt val="1.0000000000000005E-2"/>
        <c:crossBetween val="midCat"/>
      </c:valAx>
      <c:valAx>
        <c:axId val="32429299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24278912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36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48.789898281304787</c:v>
                </c:pt>
                <c:pt idx="1">
                  <c:v>45.001408054069266</c:v>
                </c:pt>
                <c:pt idx="2">
                  <c:v>42.114858705560614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320640"/>
        <c:axId val="324322816"/>
      </c:scatterChart>
      <c:valAx>
        <c:axId val="324320640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24322816"/>
        <c:crosses val="autoZero"/>
        <c:crossBetween val="midCat"/>
        <c:minorUnit val="10"/>
      </c:valAx>
      <c:valAx>
        <c:axId val="3243228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243206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93</c:v>
                </c:pt>
                <c:pt idx="10">
                  <c:v>93</c:v>
                </c:pt>
                <c:pt idx="11">
                  <c:v>85</c:v>
                </c:pt>
                <c:pt idx="12">
                  <c:v>85</c:v>
                </c:pt>
                <c:pt idx="1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08416"/>
        <c:axId val="338109952"/>
      </c:scatterChart>
      <c:valAx>
        <c:axId val="338108416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38109952"/>
        <c:crossesAt val="1.0000000000000005E-2"/>
        <c:crossBetween val="midCat"/>
      </c:valAx>
      <c:valAx>
        <c:axId val="33810995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108416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36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48.789898281304787</c:v>
                </c:pt>
                <c:pt idx="1">
                  <c:v>45.001408054069266</c:v>
                </c:pt>
                <c:pt idx="2">
                  <c:v>42.114858705560614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53856"/>
        <c:axId val="338155776"/>
      </c:scatterChart>
      <c:valAx>
        <c:axId val="338153856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155776"/>
        <c:crosses val="autoZero"/>
        <c:crossBetween val="midCat"/>
        <c:minorUnit val="10"/>
      </c:valAx>
      <c:valAx>
        <c:axId val="33815577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1538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93</c:v>
                </c:pt>
                <c:pt idx="10">
                  <c:v>93</c:v>
                </c:pt>
                <c:pt idx="11">
                  <c:v>85</c:v>
                </c:pt>
                <c:pt idx="12">
                  <c:v>85</c:v>
                </c:pt>
                <c:pt idx="1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03936"/>
        <c:axId val="338513920"/>
      </c:scatterChart>
      <c:valAx>
        <c:axId val="338503936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38513920"/>
        <c:crossesAt val="1.0000000000000005E-2"/>
        <c:crossBetween val="midCat"/>
      </c:valAx>
      <c:valAx>
        <c:axId val="33851392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503936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36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48.789898281304787</c:v>
                </c:pt>
                <c:pt idx="1">
                  <c:v>45.001408054069266</c:v>
                </c:pt>
                <c:pt idx="2">
                  <c:v>42.114858705560614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49376"/>
        <c:axId val="338555648"/>
      </c:scatterChart>
      <c:valAx>
        <c:axId val="338549376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555648"/>
        <c:crosses val="autoZero"/>
        <c:crossBetween val="midCat"/>
        <c:minorUnit val="10"/>
      </c:valAx>
      <c:valAx>
        <c:axId val="33855564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5493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464425" y="10220325"/>
          <a:ext cx="1270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126980"/>
          <a:ext cx="127000" cy="424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7" name="Text Box 20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78"/>
  <sheetViews>
    <sheetView tabSelected="1" zoomScale="96" zoomScaleNormal="96" zoomScaleSheetLayoutView="80" zoomScalePageLayoutView="80" workbookViewId="0">
      <selection activeCell="V4" sqref="V4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3">
      <c r="B2" s="382" t="s">
        <v>139</v>
      </c>
      <c r="C2" s="383"/>
      <c r="D2" s="383"/>
      <c r="E2" s="384"/>
      <c r="F2" s="391" t="s">
        <v>1</v>
      </c>
      <c r="G2" s="392"/>
      <c r="H2" s="395" t="s">
        <v>141</v>
      </c>
      <c r="I2" s="396"/>
      <c r="J2" s="397"/>
      <c r="K2" s="287" t="s">
        <v>2</v>
      </c>
      <c r="L2" s="401">
        <v>46112</v>
      </c>
      <c r="M2" s="401"/>
      <c r="N2" s="401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</row>
    <row r="3" spans="1:58" ht="24" customHeight="1" x14ac:dyDescent="0.3">
      <c r="B3" s="385"/>
      <c r="C3" s="386"/>
      <c r="D3" s="386"/>
      <c r="E3" s="387"/>
      <c r="F3" s="393"/>
      <c r="G3" s="394"/>
      <c r="H3" s="398"/>
      <c r="I3" s="399"/>
      <c r="J3" s="400"/>
      <c r="K3" s="287" t="s">
        <v>3</v>
      </c>
      <c r="L3" s="402">
        <v>1</v>
      </c>
      <c r="M3" s="403"/>
      <c r="N3" s="404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</row>
    <row r="4" spans="1:58" s="3" customFormat="1" ht="13.5" customHeight="1" x14ac:dyDescent="0.3">
      <c r="B4" s="388"/>
      <c r="C4" s="389"/>
      <c r="D4" s="389"/>
      <c r="E4" s="390"/>
      <c r="F4" s="405" t="s">
        <v>4</v>
      </c>
      <c r="G4" s="406"/>
      <c r="H4" s="406"/>
      <c r="I4" s="406"/>
      <c r="J4" s="407"/>
      <c r="K4" s="408" t="s">
        <v>5</v>
      </c>
      <c r="L4" s="408"/>
      <c r="M4" s="402">
        <v>5</v>
      </c>
      <c r="N4" s="409"/>
      <c r="O4" s="356" t="s">
        <v>6</v>
      </c>
      <c r="P4" s="357" t="s">
        <v>7</v>
      </c>
      <c r="Q4" s="376">
        <v>46102</v>
      </c>
      <c r="R4" s="377"/>
      <c r="S4" s="377"/>
      <c r="T4" s="180"/>
      <c r="U4" s="180"/>
      <c r="V4" s="234"/>
      <c r="W4" s="268"/>
      <c r="X4" s="268"/>
      <c r="Y4" s="268"/>
    </row>
    <row r="5" spans="1:58" ht="13.5" customHeight="1" x14ac:dyDescent="0.3">
      <c r="B5" s="378" t="s">
        <v>8</v>
      </c>
      <c r="C5" s="379"/>
      <c r="D5" s="380"/>
      <c r="E5" s="381" t="s">
        <v>140</v>
      </c>
      <c r="F5" s="381"/>
      <c r="G5" s="381"/>
      <c r="H5" s="381"/>
      <c r="I5" s="381"/>
      <c r="J5" s="381"/>
      <c r="K5" s="298"/>
      <c r="L5" s="298"/>
      <c r="M5" s="354"/>
      <c r="N5" s="355"/>
      <c r="O5" s="356" t="s">
        <v>9</v>
      </c>
      <c r="P5" s="357"/>
      <c r="Q5" s="181">
        <v>1</v>
      </c>
      <c r="R5" s="234">
        <f>F34</f>
        <v>0</v>
      </c>
      <c r="S5" s="234">
        <f>C35</f>
        <v>0</v>
      </c>
      <c r="T5" s="234"/>
      <c r="U5" s="234"/>
      <c r="V5" s="234"/>
      <c r="W5" s="268"/>
      <c r="X5" s="268"/>
      <c r="Y5" s="268"/>
      <c r="AB5" s="3"/>
      <c r="AC5" s="3"/>
    </row>
    <row r="6" spans="1:58" ht="13.5" customHeight="1" x14ac:dyDescent="0.3">
      <c r="B6" s="373" t="s">
        <v>10</v>
      </c>
      <c r="C6" s="374"/>
      <c r="D6" s="375"/>
      <c r="E6" s="353" t="s">
        <v>142</v>
      </c>
      <c r="F6" s="354"/>
      <c r="G6" s="354"/>
      <c r="H6" s="354"/>
      <c r="I6" s="354"/>
      <c r="J6" s="354"/>
      <c r="K6" s="354"/>
      <c r="L6" s="354"/>
      <c r="M6" s="354"/>
      <c r="N6" s="355"/>
      <c r="O6" s="356" t="s">
        <v>11</v>
      </c>
      <c r="P6" s="357" t="s">
        <v>7</v>
      </c>
      <c r="Q6" s="288">
        <v>92.34</v>
      </c>
      <c r="R6" s="234" t="s">
        <v>0</v>
      </c>
      <c r="S6" s="234"/>
      <c r="T6" s="234"/>
      <c r="U6" s="234"/>
      <c r="V6" s="234"/>
      <c r="W6" s="268"/>
      <c r="X6" s="268"/>
      <c r="Y6" s="26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358" t="s">
        <v>12</v>
      </c>
      <c r="C7" s="359"/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60"/>
      <c r="O7" s="289"/>
      <c r="P7" s="290"/>
      <c r="Q7" s="181"/>
      <c r="R7" s="234"/>
      <c r="S7" s="234"/>
      <c r="T7" s="234"/>
      <c r="U7" s="234"/>
      <c r="V7" s="234"/>
      <c r="W7" s="268"/>
      <c r="X7" s="268"/>
      <c r="Y7" s="26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361"/>
      <c r="C8" s="362"/>
      <c r="D8" s="362"/>
      <c r="E8" s="362"/>
      <c r="F8" s="362"/>
      <c r="G8" s="362"/>
      <c r="H8" s="362"/>
      <c r="I8" s="362"/>
      <c r="J8" s="362"/>
      <c r="K8" s="362"/>
      <c r="L8" s="362"/>
      <c r="M8" s="362"/>
      <c r="N8" s="363"/>
      <c r="O8" s="183" t="s">
        <v>14</v>
      </c>
      <c r="P8" s="187" t="s">
        <v>15</v>
      </c>
      <c r="Q8" s="187" t="s">
        <v>16</v>
      </c>
      <c r="R8" s="187" t="s">
        <v>17</v>
      </c>
      <c r="S8" s="234"/>
      <c r="T8" s="234"/>
      <c r="U8" s="234"/>
      <c r="V8" s="234"/>
      <c r="W8" s="268"/>
      <c r="X8" s="268"/>
      <c r="Y8" s="26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291"/>
      <c r="C9" s="182"/>
      <c r="D9" s="182"/>
      <c r="E9" s="292"/>
      <c r="F9" s="182"/>
      <c r="G9" s="182"/>
      <c r="H9" s="182"/>
      <c r="I9" s="182"/>
      <c r="J9" s="182"/>
      <c r="K9" s="182"/>
      <c r="L9" s="182"/>
      <c r="M9" s="182"/>
      <c r="N9" s="293"/>
      <c r="O9" s="234"/>
      <c r="P9" s="234"/>
      <c r="Q9" s="234"/>
      <c r="R9" s="234"/>
      <c r="S9" s="234"/>
      <c r="T9" s="234"/>
      <c r="U9" s="234"/>
      <c r="V9" s="234"/>
      <c r="W9" s="268"/>
      <c r="X9" s="268"/>
      <c r="Y9" s="26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52"/>
      <c r="C10" s="249" t="s">
        <v>18</v>
      </c>
      <c r="D10" s="250" t="s">
        <v>19</v>
      </c>
      <c r="E10" s="251">
        <f>Q6</f>
        <v>92.34</v>
      </c>
      <c r="F10" s="253" t="s">
        <v>20</v>
      </c>
      <c r="G10" s="251">
        <f>IF(Q24="a",Q23,SUM(Q10:Q23))</f>
        <v>26.9</v>
      </c>
      <c r="H10" s="254"/>
      <c r="I10" s="364" t="s">
        <v>21</v>
      </c>
      <c r="J10" s="365"/>
      <c r="K10" s="365"/>
      <c r="L10" s="365"/>
      <c r="M10" s="366"/>
      <c r="N10" s="255"/>
      <c r="O10" s="183">
        <v>76.2</v>
      </c>
      <c r="P10" s="184">
        <f>IF(X10=0," ",X10)</f>
        <v>100</v>
      </c>
      <c r="Q10" s="185">
        <v>0</v>
      </c>
      <c r="R10" s="186" t="s">
        <v>22</v>
      </c>
      <c r="S10" s="187" t="s">
        <v>23</v>
      </c>
      <c r="T10" s="184">
        <f>X23-35</f>
        <v>36</v>
      </c>
      <c r="U10" s="188"/>
      <c r="V10" s="189">
        <f>IF($Q$24="I",V9+Q10,Q10)</f>
        <v>0</v>
      </c>
      <c r="W10" s="190">
        <f>Q10</f>
        <v>0</v>
      </c>
      <c r="X10" s="190">
        <f>ROUND(G13,0)</f>
        <v>100</v>
      </c>
      <c r="Y10" s="268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52"/>
      <c r="C11" s="367" t="s">
        <v>24</v>
      </c>
      <c r="D11" s="368"/>
      <c r="E11" s="369" t="s">
        <v>25</v>
      </c>
      <c r="F11" s="369" t="s">
        <v>26</v>
      </c>
      <c r="G11" s="369" t="s">
        <v>27</v>
      </c>
      <c r="H11" s="254"/>
      <c r="I11" s="371" t="s">
        <v>28</v>
      </c>
      <c r="J11" s="341"/>
      <c r="K11" s="341">
        <v>1</v>
      </c>
      <c r="L11" s="341">
        <v>2</v>
      </c>
      <c r="M11" s="343">
        <v>3</v>
      </c>
      <c r="N11" s="255"/>
      <c r="O11" s="183">
        <v>63.5</v>
      </c>
      <c r="P11" s="184">
        <f t="shared" ref="P11:P23" si="0">IF(X11=0," ",X11)</f>
        <v>100</v>
      </c>
      <c r="Q11" s="185">
        <v>0</v>
      </c>
      <c r="R11" s="186" t="s">
        <v>29</v>
      </c>
      <c r="S11" s="187" t="s">
        <v>23</v>
      </c>
      <c r="T11" s="184">
        <f>X23-15</f>
        <v>56</v>
      </c>
      <c r="U11" s="188"/>
      <c r="V11" s="189">
        <f>IF($Q$24="I",V10+Q11,Q11)</f>
        <v>0</v>
      </c>
      <c r="W11" s="190">
        <f>IF(AND(V11=0,X10=100),0,IF(V11=V10,((V12-V10)*(O10-O11)/(O10-O12)+V10),V11))</f>
        <v>0</v>
      </c>
      <c r="X11" s="190">
        <f t="shared" ref="X11:X19" si="1">ROUND(G14,0)</f>
        <v>100</v>
      </c>
      <c r="Y11" s="268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256"/>
      <c r="C12" s="257" t="s">
        <v>30</v>
      </c>
      <c r="D12" s="258" t="s">
        <v>31</v>
      </c>
      <c r="E12" s="370"/>
      <c r="F12" s="370"/>
      <c r="G12" s="370"/>
      <c r="H12" s="259"/>
      <c r="I12" s="372"/>
      <c r="J12" s="342"/>
      <c r="K12" s="342"/>
      <c r="L12" s="342"/>
      <c r="M12" s="344"/>
      <c r="N12" s="260"/>
      <c r="O12" s="183">
        <v>50.8</v>
      </c>
      <c r="P12" s="184">
        <f t="shared" si="0"/>
        <v>100</v>
      </c>
      <c r="Q12" s="191">
        <v>0</v>
      </c>
      <c r="R12" s="186" t="s">
        <v>32</v>
      </c>
      <c r="S12" s="187" t="s">
        <v>33</v>
      </c>
      <c r="T12" s="184">
        <f>Q27-40</f>
        <v>4.6991395061122034</v>
      </c>
      <c r="U12" s="188"/>
      <c r="V12" s="189">
        <f>IF($Q$24="I",V11+Q12,Q12)</f>
        <v>0</v>
      </c>
      <c r="W12" s="190">
        <f>IF(AND(V12=0,X11=100),0,IF(V12=V11,((V13-V11)*(O11-O12)/(O11-O13)+V11),V12))</f>
        <v>0</v>
      </c>
      <c r="X12" s="190">
        <f t="shared" si="1"/>
        <v>100</v>
      </c>
      <c r="Y12" s="268"/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261"/>
      <c r="C13" s="192" t="s">
        <v>22</v>
      </c>
      <c r="D13" s="193">
        <f t="shared" ref="D13:D25" si="2">O10</f>
        <v>76.2</v>
      </c>
      <c r="E13" s="194">
        <f>W10</f>
        <v>0</v>
      </c>
      <c r="F13" s="195">
        <f t="shared" ref="F13:F26" si="3">(100/$E$10)*E13</f>
        <v>0</v>
      </c>
      <c r="G13" s="196">
        <f>100-F13</f>
        <v>100</v>
      </c>
      <c r="H13" s="237"/>
      <c r="I13" s="345" t="s">
        <v>35</v>
      </c>
      <c r="J13" s="346"/>
      <c r="K13" s="197">
        <v>67</v>
      </c>
      <c r="L13" s="197">
        <v>38</v>
      </c>
      <c r="M13" s="198">
        <v>42</v>
      </c>
      <c r="N13" s="262"/>
      <c r="O13" s="183">
        <v>38.1</v>
      </c>
      <c r="P13" s="184">
        <f t="shared" si="0"/>
        <v>100</v>
      </c>
      <c r="Q13" s="185">
        <v>0</v>
      </c>
      <c r="R13" s="186" t="s">
        <v>36</v>
      </c>
      <c r="S13" s="187" t="s">
        <v>37</v>
      </c>
      <c r="T13" s="184">
        <f>F32-10</f>
        <v>2</v>
      </c>
      <c r="U13" s="188"/>
      <c r="V13" s="189">
        <f>IF($Q$24="I",V12+Q13,Q13)</f>
        <v>0</v>
      </c>
      <c r="W13" s="190">
        <f>IF(AND(V13=0,X12=100),0,IF(V13=V12,((V14-V12)*(O12-O13)/(O12-O14)+V12),V13))</f>
        <v>0</v>
      </c>
      <c r="X13" s="190">
        <f t="shared" si="1"/>
        <v>100</v>
      </c>
      <c r="Y13" s="268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261"/>
      <c r="C14" s="199" t="s">
        <v>29</v>
      </c>
      <c r="D14" s="193">
        <f t="shared" si="2"/>
        <v>63.5</v>
      </c>
      <c r="E14" s="200">
        <f>W11-W10</f>
        <v>0</v>
      </c>
      <c r="F14" s="201">
        <f>(100/$E$10)*E14</f>
        <v>0</v>
      </c>
      <c r="G14" s="202">
        <f>G13-F14</f>
        <v>100</v>
      </c>
      <c r="H14" s="237"/>
      <c r="I14" s="334" t="s">
        <v>39</v>
      </c>
      <c r="J14" s="335"/>
      <c r="K14" s="203">
        <v>14</v>
      </c>
      <c r="L14" s="203">
        <v>24</v>
      </c>
      <c r="M14" s="204">
        <v>36</v>
      </c>
      <c r="N14" s="262"/>
      <c r="O14" s="183">
        <v>25.4</v>
      </c>
      <c r="P14" s="184">
        <f t="shared" si="0"/>
        <v>100</v>
      </c>
      <c r="Q14" s="185">
        <v>0</v>
      </c>
      <c r="R14" s="186">
        <v>1</v>
      </c>
      <c r="S14" s="187" t="s">
        <v>40</v>
      </c>
      <c r="T14" s="205">
        <f>Q27-30</f>
        <v>14.699139506112203</v>
      </c>
      <c r="U14" s="205"/>
      <c r="V14" s="189">
        <f t="shared" ref="V14:V22" si="4">IF($Q$24="I",V13+Q14,Q14)</f>
        <v>0</v>
      </c>
      <c r="W14" s="190">
        <f t="shared" ref="W14:W23" si="5">IF(AND(V14=0,X13=100),0,IF(V14=V13,((V15-V13)*(O13-O14)/(O13-O15)+V13),V14))</f>
        <v>0</v>
      </c>
      <c r="X14" s="190">
        <f>ROUND(G17,0)</f>
        <v>100</v>
      </c>
      <c r="Y14" s="268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261"/>
      <c r="C15" s="199" t="s">
        <v>32</v>
      </c>
      <c r="D15" s="193">
        <f t="shared" si="2"/>
        <v>50.8</v>
      </c>
      <c r="E15" s="200">
        <f t="shared" ref="E15:E26" si="6">Q12</f>
        <v>0</v>
      </c>
      <c r="F15" s="201">
        <f t="shared" si="3"/>
        <v>0</v>
      </c>
      <c r="G15" s="202">
        <f t="shared" ref="G15:G26" si="7">G14-F15</f>
        <v>100</v>
      </c>
      <c r="H15" s="237"/>
      <c r="I15" s="334" t="s">
        <v>41</v>
      </c>
      <c r="J15" s="335"/>
      <c r="K15" s="206">
        <v>48.73</v>
      </c>
      <c r="L15" s="203">
        <v>58.32</v>
      </c>
      <c r="M15" s="207">
        <v>52.28</v>
      </c>
      <c r="N15" s="262"/>
      <c r="O15" s="183">
        <v>19.05</v>
      </c>
      <c r="P15" s="184">
        <f t="shared" si="0"/>
        <v>100</v>
      </c>
      <c r="Q15" s="185">
        <v>0</v>
      </c>
      <c r="R15" s="186" t="s">
        <v>42</v>
      </c>
      <c r="S15" s="187" t="s">
        <v>43</v>
      </c>
      <c r="T15" s="263">
        <f>IF(X18=0,0,100-X18)</f>
        <v>0</v>
      </c>
      <c r="U15" s="263"/>
      <c r="V15" s="189">
        <f t="shared" si="4"/>
        <v>0</v>
      </c>
      <c r="W15" s="190">
        <f t="shared" si="5"/>
        <v>0</v>
      </c>
      <c r="X15" s="190">
        <f t="shared" si="1"/>
        <v>100</v>
      </c>
      <c r="Y15" s="268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261"/>
      <c r="C16" s="199" t="s">
        <v>36</v>
      </c>
      <c r="D16" s="193">
        <f t="shared" si="2"/>
        <v>38.1</v>
      </c>
      <c r="E16" s="200">
        <f t="shared" si="6"/>
        <v>0</v>
      </c>
      <c r="F16" s="201">
        <f t="shared" si="3"/>
        <v>0</v>
      </c>
      <c r="G16" s="202">
        <f t="shared" si="7"/>
        <v>100</v>
      </c>
      <c r="H16" s="237"/>
      <c r="I16" s="334" t="s">
        <v>45</v>
      </c>
      <c r="J16" s="335"/>
      <c r="K16" s="203">
        <v>34.82</v>
      </c>
      <c r="L16" s="203">
        <v>42.34</v>
      </c>
      <c r="M16" s="204">
        <v>38.42</v>
      </c>
      <c r="N16" s="262"/>
      <c r="O16" s="183">
        <v>12.7</v>
      </c>
      <c r="P16" s="184">
        <f t="shared" si="0"/>
        <v>100</v>
      </c>
      <c r="Q16" s="185">
        <v>0</v>
      </c>
      <c r="R16" s="186" t="s">
        <v>46</v>
      </c>
      <c r="S16" s="187" t="s">
        <v>47</v>
      </c>
      <c r="T16" s="263">
        <f>IF(X18=0,100-X23,X18-X23)</f>
        <v>29</v>
      </c>
      <c r="U16" s="263"/>
      <c r="V16" s="189">
        <f>IF($Q$24="I",V15+Q16,Q16)</f>
        <v>0</v>
      </c>
      <c r="W16" s="190">
        <f t="shared" si="5"/>
        <v>0</v>
      </c>
      <c r="X16" s="190">
        <f>ROUND(G19,0)</f>
        <v>100</v>
      </c>
      <c r="Y16" s="268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261"/>
      <c r="C17" s="199" t="s">
        <v>49</v>
      </c>
      <c r="D17" s="193">
        <f t="shared" si="2"/>
        <v>25.4</v>
      </c>
      <c r="E17" s="200">
        <f t="shared" si="6"/>
        <v>0</v>
      </c>
      <c r="F17" s="201">
        <f t="shared" si="3"/>
        <v>0</v>
      </c>
      <c r="G17" s="202">
        <f t="shared" si="7"/>
        <v>100</v>
      </c>
      <c r="H17" s="237"/>
      <c r="I17" s="334" t="s">
        <v>50</v>
      </c>
      <c r="J17" s="335"/>
      <c r="K17" s="203">
        <v>6.31</v>
      </c>
      <c r="L17" s="206">
        <v>6.83</v>
      </c>
      <c r="M17" s="207">
        <v>5.51</v>
      </c>
      <c r="N17" s="262"/>
      <c r="O17" s="183">
        <v>9.52</v>
      </c>
      <c r="P17" s="184">
        <f t="shared" si="0"/>
        <v>100</v>
      </c>
      <c r="Q17" s="185">
        <v>0</v>
      </c>
      <c r="R17" s="186" t="s">
        <v>51</v>
      </c>
      <c r="S17" s="187" t="s">
        <v>52</v>
      </c>
      <c r="T17" s="263">
        <f>(R27-20)*0.73</f>
        <v>18.25</v>
      </c>
      <c r="U17" s="263"/>
      <c r="V17" s="189">
        <f>IF($Q$24="I",V16+Q17,Q17)</f>
        <v>0</v>
      </c>
      <c r="W17" s="190">
        <f>IF(AND(V17=0,X16=100),0,IF(V17=V16,((V18-V16)*(O16-O17)/(O16-O18)+V16),V17))</f>
        <v>0</v>
      </c>
      <c r="X17" s="190">
        <f t="shared" si="1"/>
        <v>100</v>
      </c>
      <c r="Y17" s="268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261"/>
      <c r="C18" s="199" t="s">
        <v>42</v>
      </c>
      <c r="D18" s="193">
        <f t="shared" si="2"/>
        <v>19.05</v>
      </c>
      <c r="E18" s="200">
        <f t="shared" si="6"/>
        <v>0</v>
      </c>
      <c r="F18" s="201">
        <f t="shared" si="3"/>
        <v>0</v>
      </c>
      <c r="G18" s="202">
        <f t="shared" si="7"/>
        <v>100</v>
      </c>
      <c r="H18" s="237"/>
      <c r="I18" s="337" t="s">
        <v>54</v>
      </c>
      <c r="J18" s="338"/>
      <c r="K18" s="208">
        <f>(K15-K16)*100/(K16-K17)</f>
        <v>48.789898281304787</v>
      </c>
      <c r="L18" s="208">
        <f>(L15-L16)*100/(L16-L17)</f>
        <v>45.001408054069266</v>
      </c>
      <c r="M18" s="209">
        <f>(M15-M16)*100/(M16-M17)</f>
        <v>42.114858705560614</v>
      </c>
      <c r="N18" s="262"/>
      <c r="O18" s="183">
        <v>4.76</v>
      </c>
      <c r="P18" s="184">
        <f t="shared" si="0"/>
        <v>100</v>
      </c>
      <c r="Q18" s="185">
        <v>0</v>
      </c>
      <c r="R18" s="186" t="s">
        <v>55</v>
      </c>
      <c r="S18" s="234"/>
      <c r="T18" s="234"/>
      <c r="U18" s="234"/>
      <c r="V18" s="189">
        <f>IF($Q$24="I",V17+Q18,Q18)</f>
        <v>0</v>
      </c>
      <c r="W18" s="190">
        <f t="shared" si="5"/>
        <v>0</v>
      </c>
      <c r="X18" s="190">
        <f t="shared" si="1"/>
        <v>100</v>
      </c>
      <c r="Y18" s="268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261"/>
      <c r="C19" s="199" t="s">
        <v>46</v>
      </c>
      <c r="D19" s="193">
        <f t="shared" si="2"/>
        <v>12.7</v>
      </c>
      <c r="E19" s="200">
        <f t="shared" si="6"/>
        <v>0</v>
      </c>
      <c r="F19" s="201">
        <f t="shared" si="3"/>
        <v>0</v>
      </c>
      <c r="G19" s="202">
        <f t="shared" si="7"/>
        <v>100</v>
      </c>
      <c r="H19" s="237"/>
      <c r="I19" s="347" t="s">
        <v>56</v>
      </c>
      <c r="J19" s="348"/>
      <c r="K19" s="348"/>
      <c r="L19" s="348"/>
      <c r="M19" s="349" t="s">
        <v>57</v>
      </c>
      <c r="N19" s="262"/>
      <c r="O19" s="210">
        <v>2</v>
      </c>
      <c r="P19" s="184">
        <f t="shared" si="0"/>
        <v>93</v>
      </c>
      <c r="Q19" s="185">
        <v>6.4</v>
      </c>
      <c r="R19" s="186" t="s">
        <v>58</v>
      </c>
      <c r="S19" s="187" t="s">
        <v>59</v>
      </c>
      <c r="T19" s="184">
        <f>IF(AND(T10&gt;1,T10&lt;=40),T10,0)</f>
        <v>36</v>
      </c>
      <c r="U19" s="188"/>
      <c r="V19" s="189">
        <f t="shared" si="4"/>
        <v>6.4</v>
      </c>
      <c r="W19" s="190">
        <f t="shared" si="5"/>
        <v>6.4</v>
      </c>
      <c r="X19" s="190">
        <f t="shared" si="1"/>
        <v>93</v>
      </c>
      <c r="Y19" s="268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5">
      <c r="A20" s="2" t="s">
        <v>60</v>
      </c>
      <c r="B20" s="261"/>
      <c r="C20" s="211" t="s">
        <v>51</v>
      </c>
      <c r="D20" s="193">
        <f t="shared" si="2"/>
        <v>9.52</v>
      </c>
      <c r="E20" s="200">
        <f t="shared" si="6"/>
        <v>0</v>
      </c>
      <c r="F20" s="201">
        <f t="shared" si="3"/>
        <v>0</v>
      </c>
      <c r="G20" s="202">
        <f t="shared" si="7"/>
        <v>100</v>
      </c>
      <c r="H20" s="237"/>
      <c r="I20" s="351" t="s">
        <v>28</v>
      </c>
      <c r="J20" s="352"/>
      <c r="K20" s="264">
        <v>1</v>
      </c>
      <c r="L20" s="265">
        <v>2</v>
      </c>
      <c r="M20" s="350"/>
      <c r="N20" s="262"/>
      <c r="O20" s="210">
        <v>0.85</v>
      </c>
      <c r="P20" s="184">
        <f t="shared" si="0"/>
        <v>93</v>
      </c>
      <c r="Q20" s="185">
        <v>0</v>
      </c>
      <c r="R20" s="186" t="s">
        <v>61</v>
      </c>
      <c r="S20" s="187" t="s">
        <v>62</v>
      </c>
      <c r="T20" s="184">
        <f>IF(AND(T11&gt;1,T11&lt;=40),ROUND(T11,1),0)</f>
        <v>0</v>
      </c>
      <c r="U20" s="188"/>
      <c r="V20" s="189">
        <f t="shared" si="4"/>
        <v>6.4</v>
      </c>
      <c r="W20" s="190">
        <f t="shared" si="5"/>
        <v>11.730158730158729</v>
      </c>
      <c r="X20" s="190">
        <f>ROUND(G23,0)</f>
        <v>93</v>
      </c>
      <c r="Y20" s="268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3">
      <c r="A21" s="2" t="s">
        <v>63</v>
      </c>
      <c r="B21" s="261"/>
      <c r="C21" s="211" t="s">
        <v>55</v>
      </c>
      <c r="D21" s="193">
        <f t="shared" si="2"/>
        <v>4.76</v>
      </c>
      <c r="E21" s="200">
        <f t="shared" si="6"/>
        <v>0</v>
      </c>
      <c r="F21" s="201">
        <f t="shared" si="3"/>
        <v>0</v>
      </c>
      <c r="G21" s="202">
        <f t="shared" si="7"/>
        <v>100</v>
      </c>
      <c r="H21" s="237"/>
      <c r="I21" s="334" t="s">
        <v>35</v>
      </c>
      <c r="J21" s="335"/>
      <c r="K21" s="203">
        <v>44</v>
      </c>
      <c r="L21" s="203">
        <v>19</v>
      </c>
      <c r="M21" s="212">
        <v>58</v>
      </c>
      <c r="N21" s="262"/>
      <c r="O21" s="183">
        <v>0.42499999999999999</v>
      </c>
      <c r="P21" s="184">
        <f t="shared" si="0"/>
        <v>85</v>
      </c>
      <c r="Q21" s="185">
        <v>7.3</v>
      </c>
      <c r="R21" s="186" t="s">
        <v>64</v>
      </c>
      <c r="S21" s="187" t="s">
        <v>65</v>
      </c>
      <c r="T21" s="184">
        <f>IF(AND(T12&gt;=1,T12&lt;=20),ROUND(T12,1),0)</f>
        <v>4.7</v>
      </c>
      <c r="U21" s="188"/>
      <c r="V21" s="189">
        <f t="shared" si="4"/>
        <v>13.7</v>
      </c>
      <c r="W21" s="190">
        <f t="shared" si="5"/>
        <v>13.7</v>
      </c>
      <c r="X21" s="190">
        <f>ROUND(G24,0)</f>
        <v>85</v>
      </c>
      <c r="Y21" s="268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3">
      <c r="A22" s="2"/>
      <c r="B22" s="261"/>
      <c r="C22" s="211" t="str">
        <f>R19</f>
        <v>N°10</v>
      </c>
      <c r="D22" s="193">
        <f t="shared" si="2"/>
        <v>2</v>
      </c>
      <c r="E22" s="200">
        <f>Q19</f>
        <v>6.4</v>
      </c>
      <c r="F22" s="201">
        <f t="shared" si="3"/>
        <v>6.9309075157028381</v>
      </c>
      <c r="G22" s="202">
        <f t="shared" si="7"/>
        <v>93.069092484297158</v>
      </c>
      <c r="H22" s="237"/>
      <c r="I22" s="334" t="s">
        <v>41</v>
      </c>
      <c r="J22" s="335"/>
      <c r="K22" s="203">
        <v>29.34</v>
      </c>
      <c r="L22" s="206">
        <v>21.45</v>
      </c>
      <c r="M22" s="206">
        <v>45.42</v>
      </c>
      <c r="N22" s="262"/>
      <c r="O22" s="213">
        <v>0.182</v>
      </c>
      <c r="P22" s="184">
        <f>IF(X22=0," ",X22)</f>
        <v>85</v>
      </c>
      <c r="Q22" s="185">
        <v>0</v>
      </c>
      <c r="R22" s="186" t="s">
        <v>66</v>
      </c>
      <c r="S22" s="187" t="s">
        <v>67</v>
      </c>
      <c r="T22" s="184">
        <f>IF(AND(T13&gt;=1,T13&lt;=20),ROUND(T13,1),0)</f>
        <v>2</v>
      </c>
      <c r="U22" s="188"/>
      <c r="V22" s="189">
        <f t="shared" si="4"/>
        <v>13.7</v>
      </c>
      <c r="W22" s="190">
        <f t="shared" si="5"/>
        <v>22.838461538461537</v>
      </c>
      <c r="X22" s="190">
        <f>ROUND(G25,0)</f>
        <v>85</v>
      </c>
      <c r="Y22" s="268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3">
      <c r="A23" s="2"/>
      <c r="B23" s="261"/>
      <c r="C23" s="211" t="str">
        <f>R20</f>
        <v>N°20</v>
      </c>
      <c r="D23" s="193">
        <f t="shared" si="2"/>
        <v>0.85</v>
      </c>
      <c r="E23" s="200">
        <f t="shared" si="6"/>
        <v>0</v>
      </c>
      <c r="F23" s="201">
        <f t="shared" si="3"/>
        <v>0</v>
      </c>
      <c r="G23" s="202">
        <f t="shared" si="7"/>
        <v>93.069092484297158</v>
      </c>
      <c r="H23" s="237"/>
      <c r="I23" s="334" t="s">
        <v>45</v>
      </c>
      <c r="J23" s="335"/>
      <c r="K23" s="203">
        <v>23.45</v>
      </c>
      <c r="L23" s="206">
        <v>18.12</v>
      </c>
      <c r="M23" s="206">
        <v>35.21</v>
      </c>
      <c r="N23" s="262"/>
      <c r="O23" s="183">
        <v>7.3999999999999996E-2</v>
      </c>
      <c r="P23" s="184">
        <f t="shared" si="0"/>
        <v>71</v>
      </c>
      <c r="Q23" s="214">
        <v>13.2</v>
      </c>
      <c r="R23" s="187" t="s">
        <v>68</v>
      </c>
      <c r="S23" s="215" t="s">
        <v>69</v>
      </c>
      <c r="T23" s="216" t="str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/>
      </c>
      <c r="U23" s="217"/>
      <c r="V23" s="189">
        <f>IF($Q$24="I",V22+Q23,Q23)</f>
        <v>26.9</v>
      </c>
      <c r="W23" s="190">
        <f t="shared" si="5"/>
        <v>26.9</v>
      </c>
      <c r="X23" s="190">
        <f>ROUND(G26,0)</f>
        <v>71</v>
      </c>
      <c r="Y23" s="268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3">
      <c r="A24" s="2"/>
      <c r="B24" s="261"/>
      <c r="C24" s="211" t="str">
        <f>R21</f>
        <v>N°40</v>
      </c>
      <c r="D24" s="193">
        <f t="shared" si="2"/>
        <v>0.42499999999999999</v>
      </c>
      <c r="E24" s="200">
        <f t="shared" si="6"/>
        <v>7.3</v>
      </c>
      <c r="F24" s="201">
        <f t="shared" si="3"/>
        <v>7.9055663850985489</v>
      </c>
      <c r="G24" s="202">
        <f t="shared" si="7"/>
        <v>85.163526099198606</v>
      </c>
      <c r="H24" s="237"/>
      <c r="I24" s="334" t="s">
        <v>50</v>
      </c>
      <c r="J24" s="335"/>
      <c r="K24" s="206">
        <v>6.2</v>
      </c>
      <c r="L24" s="206">
        <v>7.39</v>
      </c>
      <c r="M24" s="218">
        <v>5.2</v>
      </c>
      <c r="N24" s="262"/>
      <c r="O24" s="234"/>
      <c r="P24" s="234"/>
      <c r="Q24" s="266" t="s">
        <v>70</v>
      </c>
      <c r="R24" s="267">
        <f>SLOPE(K18:M18,LN(K14:M14))</f>
        <v>-7.0654885200423649</v>
      </c>
      <c r="S24" s="215" t="s">
        <v>71</v>
      </c>
      <c r="T24" s="219" t="str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/>
      </c>
      <c r="U24" s="217"/>
      <c r="V24" s="234" t="str">
        <f>""</f>
        <v/>
      </c>
      <c r="W24" s="268"/>
      <c r="X24" s="268"/>
      <c r="Y24" s="26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5">
      <c r="A25" s="2" t="s">
        <v>72</v>
      </c>
      <c r="B25" s="261"/>
      <c r="C25" s="211" t="str">
        <f>R22</f>
        <v>N°80</v>
      </c>
      <c r="D25" s="193">
        <f t="shared" si="2"/>
        <v>0.182</v>
      </c>
      <c r="E25" s="200">
        <f t="shared" si="6"/>
        <v>0</v>
      </c>
      <c r="F25" s="201">
        <f t="shared" si="3"/>
        <v>0</v>
      </c>
      <c r="G25" s="202">
        <f t="shared" si="7"/>
        <v>85.163526099198606</v>
      </c>
      <c r="H25" s="237"/>
      <c r="I25" s="337" t="s">
        <v>54</v>
      </c>
      <c r="J25" s="338"/>
      <c r="K25" s="208">
        <f>(K22-K23)*100/(K23-K24)</f>
        <v>34.144927536231883</v>
      </c>
      <c r="L25" s="208">
        <f>(L22-L23)*100/(L23-L24)</f>
        <v>31.034482758620673</v>
      </c>
      <c r="M25" s="208">
        <f>(M22-M23)*100/(M23-M24)</f>
        <v>34.021992669110297</v>
      </c>
      <c r="N25" s="262"/>
      <c r="O25" s="339" t="s">
        <v>73</v>
      </c>
      <c r="P25" s="340"/>
      <c r="Q25" s="220"/>
      <c r="R25" s="269">
        <f>INTERCEPT(K18:M18,LN(K14:M14))</f>
        <v>67.442069694160352</v>
      </c>
      <c r="S25" s="215" t="s">
        <v>74</v>
      </c>
      <c r="T25" s="216" t="str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/>
      </c>
      <c r="U25" s="217"/>
      <c r="V25" s="234" t="str">
        <f>""</f>
        <v/>
      </c>
      <c r="W25" s="268"/>
      <c r="X25" s="268"/>
      <c r="Y25" s="26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3">
      <c r="A26" s="2" t="s">
        <v>75</v>
      </c>
      <c r="B26" s="261"/>
      <c r="C26" s="211" t="str">
        <f>R23</f>
        <v>N°200</v>
      </c>
      <c r="D26" s="193">
        <f>O23</f>
        <v>7.3999999999999996E-2</v>
      </c>
      <c r="E26" s="200">
        <f t="shared" si="6"/>
        <v>13.2</v>
      </c>
      <c r="F26" s="201">
        <f t="shared" si="3"/>
        <v>14.294996751137102</v>
      </c>
      <c r="G26" s="202">
        <f t="shared" si="7"/>
        <v>70.8685293480615</v>
      </c>
      <c r="H26" s="237"/>
      <c r="I26" s="221" t="s">
        <v>76</v>
      </c>
      <c r="J26" s="237"/>
      <c r="K26" s="237"/>
      <c r="L26" s="237"/>
      <c r="M26" s="237"/>
      <c r="N26" s="262"/>
      <c r="O26" s="234"/>
      <c r="P26" s="234"/>
      <c r="Q26" s="234"/>
      <c r="R26" s="234"/>
      <c r="S26" s="187" t="s">
        <v>77</v>
      </c>
      <c r="T26" s="234"/>
      <c r="U26" s="234"/>
      <c r="V26" s="234" t="str">
        <f>""</f>
        <v/>
      </c>
      <c r="W26" s="268"/>
      <c r="X26" s="268"/>
      <c r="Y26" s="26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5">
      <c r="B27" s="261"/>
      <c r="C27" s="222" t="s">
        <v>78</v>
      </c>
      <c r="D27" s="223"/>
      <c r="E27" s="224">
        <f>Q6-SUM(E13:E26)</f>
        <v>65.44</v>
      </c>
      <c r="F27" s="225">
        <f>100-SUM(F13:F26)</f>
        <v>70.868529348061514</v>
      </c>
      <c r="G27" s="226"/>
      <c r="H27" s="237"/>
      <c r="I27" s="227">
        <f>IF(OR(I35=0,I31=0),0,ROUND(I35/I31,0))</f>
        <v>0</v>
      </c>
      <c r="J27" s="270"/>
      <c r="K27" s="270"/>
      <c r="L27" s="270"/>
      <c r="M27" s="270"/>
      <c r="N27" s="262"/>
      <c r="O27" s="325" t="s">
        <v>79</v>
      </c>
      <c r="P27" s="326"/>
      <c r="Q27" s="216" t="str">
        <f>IF(AND(L14="",M14="",K14&lt;=30,K14&gt;=20),((K14/25)^0.121)*K18,"")&amp;IF(AND(L14="",M14="",OR(K14&gt;30,K14&lt;20)),0,"")&amp;IF(AND(L14&gt;1,M14&gt;1),($R$24*LN(25))+$R$25,"")</f>
        <v>44,6991395061122</v>
      </c>
      <c r="R27" s="228">
        <f>ROUND(Q27,0)</f>
        <v>45</v>
      </c>
      <c r="S27" s="187" t="str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ML</v>
      </c>
      <c r="T27" s="234"/>
      <c r="U27" s="234"/>
      <c r="V27" s="271"/>
      <c r="W27" s="237"/>
      <c r="X27" s="237"/>
      <c r="Y27" s="237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5">
      <c r="B28" s="261"/>
      <c r="C28" s="327" t="s">
        <v>80</v>
      </c>
      <c r="D28" s="328"/>
      <c r="E28" s="229">
        <f>SUM(E13:E27)</f>
        <v>92.34</v>
      </c>
      <c r="F28" s="237"/>
      <c r="G28" s="237"/>
      <c r="H28" s="237"/>
      <c r="I28" s="230" t="s">
        <v>81</v>
      </c>
      <c r="J28" s="270"/>
      <c r="K28" s="270"/>
      <c r="L28" s="270"/>
      <c r="M28" s="270"/>
      <c r="N28" s="262"/>
      <c r="O28" s="325" t="s">
        <v>82</v>
      </c>
      <c r="P28" s="326"/>
      <c r="Q28" s="184">
        <f>IF(AND(K22="",L22=""),0,AVERAGE(K25:L25))</f>
        <v>32.58970514742628</v>
      </c>
      <c r="R28" s="228">
        <f>ROUND(Q28,0)</f>
        <v>33</v>
      </c>
      <c r="S28" s="187" t="str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/>
      </c>
      <c r="T28" s="234" t="s">
        <v>13</v>
      </c>
      <c r="U28" s="234"/>
      <c r="V28" s="272"/>
      <c r="W28" s="237"/>
      <c r="X28" s="231"/>
      <c r="Y28" s="231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5">
      <c r="B29" s="261"/>
      <c r="C29" s="329" t="s">
        <v>83</v>
      </c>
      <c r="D29" s="330"/>
      <c r="E29" s="330"/>
      <c r="F29" s="330"/>
      <c r="G29" s="331"/>
      <c r="H29" s="237"/>
      <c r="I29" s="227">
        <f>IF(OR(I35=0,I33=0,I31=0),0,ROUND((I33^2/(I31*I35)),0))</f>
        <v>0</v>
      </c>
      <c r="J29" s="270"/>
      <c r="K29" s="270"/>
      <c r="L29" s="270"/>
      <c r="M29" s="270"/>
      <c r="N29" s="262"/>
      <c r="O29" s="234"/>
      <c r="P29" s="273"/>
      <c r="Q29" s="234"/>
      <c r="R29" s="234"/>
      <c r="S29" s="187" t="str">
        <f>IF(AND(OR(S27="CL",S27="ML"),Q25="S"),"OL","")&amp;IF(AND(OR(S27="CH",S27="MH"),Q25="S"),"OH","")</f>
        <v/>
      </c>
      <c r="T29" s="234"/>
      <c r="U29" s="234"/>
      <c r="V29" s="272"/>
      <c r="W29" s="237"/>
      <c r="X29" s="231"/>
      <c r="Y29" s="231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3">
      <c r="B30" s="261"/>
      <c r="C30" s="332" t="s">
        <v>79</v>
      </c>
      <c r="D30" s="333"/>
      <c r="E30" s="333"/>
      <c r="F30" s="232">
        <f>IF(R27=0,"NL",ROUND(Q27,0))</f>
        <v>45</v>
      </c>
      <c r="G30" s="233" t="s">
        <v>84</v>
      </c>
      <c r="H30" s="237"/>
      <c r="I30" s="230" t="s">
        <v>85</v>
      </c>
      <c r="J30" s="270"/>
      <c r="K30" s="270"/>
      <c r="L30" s="270"/>
      <c r="M30" s="270"/>
      <c r="N30" s="262"/>
      <c r="O30" s="234"/>
      <c r="P30" s="234"/>
      <c r="Q30" s="234"/>
      <c r="R30" s="234"/>
      <c r="S30" s="234"/>
      <c r="T30" s="234"/>
      <c r="U30" s="234"/>
      <c r="V30" s="271"/>
      <c r="W30" s="231"/>
      <c r="X30" s="294"/>
      <c r="Y30" s="294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3">
      <c r="B31" s="261"/>
      <c r="C31" s="321" t="s">
        <v>82</v>
      </c>
      <c r="D31" s="322"/>
      <c r="E31" s="322"/>
      <c r="F31" s="235">
        <f>IF(R28=0,"NP",ROUND(Q28,0))</f>
        <v>33</v>
      </c>
      <c r="G31" s="236" t="str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A-7-5</v>
      </c>
      <c r="H31" s="237"/>
      <c r="I31" s="238">
        <f>IF(T25="",0,ROUND(T25,2))</f>
        <v>0</v>
      </c>
      <c r="J31" s="270"/>
      <c r="K31" s="270"/>
      <c r="L31" s="270"/>
      <c r="M31" s="270"/>
      <c r="N31" s="262"/>
      <c r="O31" s="234"/>
      <c r="P31" s="187">
        <v>76.2</v>
      </c>
      <c r="Q31" s="187">
        <v>100</v>
      </c>
      <c r="R31" s="187" t="s">
        <v>36</v>
      </c>
      <c r="S31" s="183">
        <v>38.1</v>
      </c>
      <c r="T31" s="239"/>
      <c r="U31" s="188"/>
      <c r="V31" s="240"/>
      <c r="W31" s="237"/>
      <c r="X31" s="320"/>
      <c r="Y31" s="320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3">
      <c r="B32" s="261"/>
      <c r="C32" s="321" t="s">
        <v>86</v>
      </c>
      <c r="D32" s="322"/>
      <c r="E32" s="322"/>
      <c r="F32" s="235">
        <f>ROUND(Q27-Q28,0)</f>
        <v>12</v>
      </c>
      <c r="G32" s="236" t="s">
        <v>87</v>
      </c>
      <c r="H32" s="254"/>
      <c r="I32" s="238" t="s">
        <v>88</v>
      </c>
      <c r="J32" s="270"/>
      <c r="K32" s="270"/>
      <c r="L32" s="270"/>
      <c r="M32" s="270"/>
      <c r="N32" s="274"/>
      <c r="O32" s="234"/>
      <c r="P32" s="187">
        <v>76.2</v>
      </c>
      <c r="Q32" s="187">
        <v>0</v>
      </c>
      <c r="R32" s="187">
        <v>1</v>
      </c>
      <c r="S32" s="183">
        <v>25.4</v>
      </c>
      <c r="T32" s="239"/>
      <c r="U32" s="188"/>
      <c r="V32" s="240"/>
      <c r="W32" s="237"/>
      <c r="X32" s="320"/>
      <c r="Y32" s="320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3.5" customHeight="1" thickBot="1" x14ac:dyDescent="0.35">
      <c r="B33" s="261"/>
      <c r="C33" s="323" t="s">
        <v>89</v>
      </c>
      <c r="D33" s="324"/>
      <c r="E33" s="324"/>
      <c r="F33" s="241">
        <f>ROUNDUP(((0.2*T19)+(0.005*T19*T21)+(0.01*T20*T22)),0)</f>
        <v>9</v>
      </c>
      <c r="G33" s="242" t="str">
        <f>S27</f>
        <v>ML</v>
      </c>
      <c r="H33" s="254"/>
      <c r="I33" s="238">
        <f>IF(T24="",0,ROUND(T24,2))</f>
        <v>0</v>
      </c>
      <c r="J33" s="270"/>
      <c r="K33" s="270"/>
      <c r="L33" s="270"/>
      <c r="M33" s="270"/>
      <c r="N33" s="274"/>
      <c r="O33" s="234"/>
      <c r="P33" s="187">
        <v>63.5</v>
      </c>
      <c r="Q33" s="187">
        <v>100</v>
      </c>
      <c r="R33" s="187" t="s">
        <v>42</v>
      </c>
      <c r="S33" s="183">
        <v>19.05</v>
      </c>
      <c r="T33" s="239"/>
      <c r="U33" s="188"/>
      <c r="V33" s="240"/>
      <c r="W33" s="237"/>
      <c r="X33" s="295"/>
      <c r="Y33" s="296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3.5" customHeight="1" x14ac:dyDescent="0.3">
      <c r="B34" s="261"/>
      <c r="C34" s="237" t="s">
        <v>90</v>
      </c>
      <c r="D34" s="237"/>
      <c r="E34" s="237"/>
      <c r="F34" s="243"/>
      <c r="G34" s="243"/>
      <c r="H34" s="275"/>
      <c r="I34" s="238" t="s">
        <v>91</v>
      </c>
      <c r="J34" s="270"/>
      <c r="K34" s="270"/>
      <c r="L34" s="270"/>
      <c r="M34" s="270"/>
      <c r="N34" s="274"/>
      <c r="O34" s="234"/>
      <c r="P34" s="187">
        <v>63.5</v>
      </c>
      <c r="Q34" s="187">
        <v>0</v>
      </c>
      <c r="R34" s="187" t="s">
        <v>46</v>
      </c>
      <c r="S34" s="183">
        <v>12.7</v>
      </c>
      <c r="T34" s="239"/>
      <c r="U34" s="188"/>
      <c r="V34" s="244"/>
      <c r="W34" s="231"/>
      <c r="X34" s="295"/>
      <c r="Y34" s="296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6.5" customHeight="1" thickBot="1" x14ac:dyDescent="0.35">
      <c r="B35" s="261"/>
      <c r="C35" s="245"/>
      <c r="D35" s="245"/>
      <c r="E35" s="245"/>
      <c r="F35" s="276"/>
      <c r="G35" s="276"/>
      <c r="H35" s="270"/>
      <c r="I35" s="246">
        <f>IF(T23="",0,ROUND(T23,2))</f>
        <v>0</v>
      </c>
      <c r="J35" s="270"/>
      <c r="K35" s="270"/>
      <c r="L35" s="270"/>
      <c r="M35" s="270"/>
      <c r="N35" s="274"/>
      <c r="O35" s="234"/>
      <c r="P35" s="187">
        <v>50.8</v>
      </c>
      <c r="Q35" s="187">
        <v>100</v>
      </c>
      <c r="R35" s="187" t="s">
        <v>51</v>
      </c>
      <c r="S35" s="183">
        <v>9.52</v>
      </c>
      <c r="T35" s="239"/>
      <c r="U35" s="188"/>
      <c r="V35" s="240"/>
      <c r="W35" s="237"/>
      <c r="X35" s="295"/>
      <c r="Y35" s="296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3.5" customHeight="1" x14ac:dyDescent="0.3">
      <c r="B36" s="261"/>
      <c r="C36" s="277"/>
      <c r="D36" s="277"/>
      <c r="E36" s="277"/>
      <c r="F36" s="278"/>
      <c r="G36" s="278"/>
      <c r="H36" s="270"/>
      <c r="I36" s="237"/>
      <c r="J36" s="270"/>
      <c r="K36" s="270"/>
      <c r="L36" s="270"/>
      <c r="M36" s="237"/>
      <c r="N36" s="274"/>
      <c r="O36" s="234"/>
      <c r="P36" s="187">
        <v>50.8</v>
      </c>
      <c r="Q36" s="187">
        <v>0</v>
      </c>
      <c r="R36" s="187" t="s">
        <v>55</v>
      </c>
      <c r="S36" s="183">
        <v>4.76</v>
      </c>
      <c r="T36" s="239"/>
      <c r="U36" s="188"/>
      <c r="V36" s="240"/>
      <c r="W36" s="237"/>
      <c r="X36" s="295"/>
      <c r="Y36" s="297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3.5" customHeight="1" x14ac:dyDescent="0.3">
      <c r="B37" s="261"/>
      <c r="C37" s="237"/>
      <c r="D37" s="237"/>
      <c r="E37" s="237"/>
      <c r="F37" s="237"/>
      <c r="G37" s="237"/>
      <c r="H37" s="270"/>
      <c r="I37" s="270"/>
      <c r="J37" s="270"/>
      <c r="K37" s="270"/>
      <c r="L37" s="270"/>
      <c r="M37" s="270"/>
      <c r="N37" s="274"/>
      <c r="O37" s="234"/>
      <c r="P37" s="187">
        <v>38.1</v>
      </c>
      <c r="Q37" s="187">
        <v>100</v>
      </c>
      <c r="R37" s="187" t="s">
        <v>58</v>
      </c>
      <c r="S37" s="210">
        <v>2</v>
      </c>
      <c r="T37" s="239"/>
      <c r="U37" s="188"/>
      <c r="V37" s="240"/>
      <c r="W37" s="237"/>
      <c r="X37" s="320"/>
      <c r="Y37" s="320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3.5" customHeight="1" x14ac:dyDescent="0.3">
      <c r="B38" s="261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4"/>
      <c r="O38" s="234"/>
      <c r="P38" s="187">
        <v>38.1</v>
      </c>
      <c r="Q38" s="187">
        <v>0</v>
      </c>
      <c r="R38" s="187" t="s">
        <v>61</v>
      </c>
      <c r="S38" s="183"/>
      <c r="T38" s="239"/>
      <c r="U38" s="188"/>
      <c r="V38" s="240"/>
      <c r="W38" s="237"/>
      <c r="X38" s="237"/>
      <c r="Y38" s="237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.75" customHeight="1" x14ac:dyDescent="0.3">
      <c r="B39" s="261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4"/>
      <c r="O39" s="234"/>
      <c r="P39" s="187">
        <v>25.4</v>
      </c>
      <c r="Q39" s="187">
        <v>100</v>
      </c>
      <c r="R39" s="187" t="s">
        <v>64</v>
      </c>
      <c r="S39" s="183">
        <v>0.42499999999999999</v>
      </c>
      <c r="T39" s="239"/>
      <c r="U39" s="188"/>
      <c r="V39" s="240"/>
      <c r="W39" s="237"/>
      <c r="X39" s="237"/>
      <c r="Y39" s="237"/>
      <c r="Z39" s="60"/>
      <c r="AA39" s="123"/>
      <c r="AB39" s="123"/>
      <c r="AC39" s="316"/>
      <c r="AD39" s="316"/>
      <c r="AE39" s="123"/>
      <c r="AF39" s="123"/>
      <c r="AG39" s="149"/>
      <c r="AH39" s="149"/>
      <c r="AI39" s="123"/>
      <c r="AJ39" s="123"/>
      <c r="AK39" s="123"/>
      <c r="AL39" s="123"/>
    </row>
    <row r="40" spans="2:40" ht="15.75" customHeight="1" x14ac:dyDescent="0.3">
      <c r="B40" s="261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4"/>
      <c r="O40" s="234"/>
      <c r="P40" s="187">
        <v>25.4</v>
      </c>
      <c r="Q40" s="187">
        <v>0</v>
      </c>
      <c r="R40" s="187" t="s">
        <v>66</v>
      </c>
      <c r="S40" s="213">
        <v>0.18</v>
      </c>
      <c r="T40" s="247"/>
      <c r="U40" s="188"/>
      <c r="V40" s="319"/>
      <c r="W40" s="319"/>
      <c r="X40" s="237"/>
      <c r="Y40" s="237"/>
      <c r="Z40" s="60"/>
      <c r="AA40" s="316"/>
      <c r="AB40" s="316"/>
      <c r="AC40" s="123"/>
      <c r="AD40" s="123"/>
      <c r="AE40" s="123"/>
      <c r="AF40" s="123"/>
      <c r="AG40" s="149"/>
      <c r="AH40" s="149"/>
      <c r="AI40" s="123"/>
      <c r="AJ40" s="123"/>
      <c r="AK40" s="123"/>
      <c r="AL40" s="123"/>
    </row>
    <row r="41" spans="2:40" ht="15.75" customHeight="1" x14ac:dyDescent="0.3">
      <c r="B41" s="261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4"/>
      <c r="O41" s="234"/>
      <c r="P41" s="187">
        <v>19.05</v>
      </c>
      <c r="Q41" s="187">
        <v>100</v>
      </c>
      <c r="R41" s="187" t="s">
        <v>68</v>
      </c>
      <c r="S41" s="183">
        <v>7.3999999999999996E-2</v>
      </c>
      <c r="T41" s="239"/>
      <c r="U41" s="188"/>
      <c r="V41" s="279"/>
      <c r="W41" s="280"/>
      <c r="X41" s="237"/>
      <c r="Y41" s="237"/>
      <c r="Z41" s="60"/>
      <c r="AA41" s="123"/>
      <c r="AB41" s="123"/>
      <c r="AC41" s="123"/>
      <c r="AD41" s="123"/>
      <c r="AE41" s="123"/>
      <c r="AF41" s="123"/>
      <c r="AG41" s="149"/>
      <c r="AH41" s="149"/>
      <c r="AI41" s="123"/>
      <c r="AJ41" s="123"/>
      <c r="AK41" s="123"/>
      <c r="AL41" s="123"/>
    </row>
    <row r="42" spans="2:40" ht="14.25" customHeight="1" x14ac:dyDescent="0.3">
      <c r="B42" s="261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4"/>
      <c r="O42" s="234"/>
      <c r="P42" s="187">
        <v>19.05</v>
      </c>
      <c r="Q42" s="187">
        <v>0</v>
      </c>
      <c r="R42" s="234"/>
      <c r="S42" s="234"/>
      <c r="T42" s="239"/>
      <c r="U42" s="188"/>
      <c r="V42" s="279"/>
      <c r="W42" s="237"/>
      <c r="X42" s="237"/>
      <c r="Y42" s="237"/>
      <c r="Z42" s="123"/>
      <c r="AA42" s="123"/>
      <c r="AB42" s="123"/>
      <c r="AC42" s="123"/>
      <c r="AD42" s="123"/>
      <c r="AE42" s="123"/>
      <c r="AF42" s="123"/>
      <c r="AG42" s="149"/>
      <c r="AH42" s="149"/>
      <c r="AI42" s="123"/>
      <c r="AJ42" s="123"/>
      <c r="AK42" s="123"/>
      <c r="AL42" s="123"/>
    </row>
    <row r="43" spans="2:40" ht="15.75" customHeight="1" x14ac:dyDescent="0.3">
      <c r="B43" s="261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4"/>
      <c r="O43" s="234"/>
      <c r="P43" s="187">
        <v>12.7</v>
      </c>
      <c r="Q43" s="187">
        <v>100</v>
      </c>
      <c r="R43" s="234"/>
      <c r="S43" s="234"/>
      <c r="T43" s="239"/>
      <c r="U43" s="188"/>
      <c r="V43" s="281"/>
      <c r="W43" s="282"/>
      <c r="X43" s="237"/>
      <c r="Y43" s="237"/>
      <c r="Z43" s="123"/>
      <c r="AA43" s="123"/>
      <c r="AB43" s="123"/>
      <c r="AC43" s="123"/>
      <c r="AD43" s="123"/>
      <c r="AE43" s="123"/>
      <c r="AF43" s="123"/>
      <c r="AG43" s="149"/>
      <c r="AH43" s="149"/>
      <c r="AI43" s="123"/>
      <c r="AJ43" s="123"/>
      <c r="AK43" s="123"/>
      <c r="AL43" s="123"/>
    </row>
    <row r="44" spans="2:40" ht="15.75" customHeight="1" x14ac:dyDescent="0.3">
      <c r="B44" s="261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4"/>
      <c r="O44" s="234"/>
      <c r="P44" s="187">
        <v>12.7</v>
      </c>
      <c r="Q44" s="187">
        <v>0</v>
      </c>
      <c r="R44" s="234"/>
      <c r="S44" s="234"/>
      <c r="T44" s="234"/>
      <c r="U44" s="271"/>
      <c r="V44" s="281"/>
      <c r="W44" s="282"/>
      <c r="X44" s="237"/>
      <c r="Y44" s="237"/>
      <c r="Z44" s="123"/>
      <c r="AA44" s="123"/>
      <c r="AB44" s="123"/>
      <c r="AC44" s="123"/>
      <c r="AD44" s="123"/>
      <c r="AE44" s="123"/>
      <c r="AF44" s="123"/>
      <c r="AG44" s="149"/>
      <c r="AH44" s="149"/>
      <c r="AI44" s="123"/>
      <c r="AJ44" s="123"/>
      <c r="AK44" s="123"/>
      <c r="AL44" s="123"/>
    </row>
    <row r="45" spans="2:40" ht="15.75" customHeight="1" x14ac:dyDescent="0.3">
      <c r="B45" s="261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4"/>
      <c r="O45" s="234"/>
      <c r="P45" s="187">
        <v>9.52</v>
      </c>
      <c r="Q45" s="187">
        <v>100</v>
      </c>
      <c r="R45" s="234"/>
      <c r="S45" s="234"/>
      <c r="T45" s="234" t="s">
        <v>0</v>
      </c>
      <c r="U45" s="271"/>
      <c r="V45" s="271"/>
      <c r="W45" s="237"/>
      <c r="X45" s="237"/>
      <c r="Y45" s="237"/>
      <c r="Z45" s="123"/>
      <c r="AA45" s="123"/>
      <c r="AB45" s="123"/>
      <c r="AC45" s="123"/>
      <c r="AD45" s="123"/>
      <c r="AE45" s="123"/>
      <c r="AF45" s="123"/>
      <c r="AG45" s="149"/>
      <c r="AH45" s="149"/>
      <c r="AI45" s="123"/>
      <c r="AJ45" s="123"/>
      <c r="AK45" s="123"/>
      <c r="AL45" s="123"/>
    </row>
    <row r="46" spans="2:40" ht="18" customHeight="1" x14ac:dyDescent="0.3">
      <c r="B46" s="261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4"/>
      <c r="O46" s="234"/>
      <c r="P46" s="187">
        <v>9.52</v>
      </c>
      <c r="Q46" s="187">
        <v>0</v>
      </c>
      <c r="R46" s="234"/>
      <c r="S46" s="234"/>
      <c r="T46" s="234" t="s">
        <v>0</v>
      </c>
      <c r="U46" s="271"/>
      <c r="V46" s="271"/>
      <c r="W46" s="237"/>
      <c r="X46" s="237"/>
      <c r="Y46" s="237"/>
      <c r="Z46" s="123"/>
      <c r="AA46" s="123"/>
      <c r="AB46" s="123"/>
      <c r="AC46" s="123"/>
      <c r="AD46" s="123"/>
      <c r="AE46" s="123"/>
      <c r="AF46" s="123"/>
      <c r="AG46" s="149"/>
      <c r="AH46" s="149"/>
      <c r="AI46" s="123"/>
      <c r="AJ46" s="123"/>
      <c r="AK46" s="123"/>
      <c r="AL46" s="123"/>
    </row>
    <row r="47" spans="2:40" ht="18" customHeight="1" x14ac:dyDescent="0.3">
      <c r="B47" s="261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4"/>
      <c r="O47" s="234"/>
      <c r="P47" s="187">
        <v>4.76</v>
      </c>
      <c r="Q47" s="187">
        <v>100</v>
      </c>
      <c r="R47" s="234"/>
      <c r="S47" s="273"/>
      <c r="T47" s="234"/>
      <c r="U47" s="272"/>
      <c r="V47" s="271"/>
      <c r="W47" s="237"/>
      <c r="X47" s="237"/>
      <c r="Y47" s="237"/>
      <c r="Z47" s="123"/>
      <c r="AA47" s="123"/>
      <c r="AB47" s="123"/>
      <c r="AC47" s="123"/>
      <c r="AD47" s="123"/>
      <c r="AE47" s="123"/>
      <c r="AF47" s="123"/>
      <c r="AG47" s="149"/>
      <c r="AH47" s="149"/>
      <c r="AI47" s="123"/>
      <c r="AJ47" s="123"/>
      <c r="AK47" s="123"/>
      <c r="AL47" s="123"/>
    </row>
    <row r="48" spans="2:40" ht="17.25" customHeight="1" x14ac:dyDescent="0.3">
      <c r="B48" s="261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4"/>
      <c r="O48" s="234"/>
      <c r="P48" s="187">
        <v>4.76</v>
      </c>
      <c r="Q48" s="187">
        <v>0</v>
      </c>
      <c r="R48" s="234"/>
      <c r="S48" s="234"/>
      <c r="T48" s="283"/>
      <c r="U48" s="272"/>
      <c r="V48" s="271"/>
      <c r="W48" s="237"/>
      <c r="X48" s="237"/>
      <c r="Y48" s="237"/>
      <c r="Z48" s="123"/>
      <c r="AA48" s="123"/>
      <c r="AB48" s="123"/>
      <c r="AC48" s="123"/>
      <c r="AD48" s="123"/>
      <c r="AE48" s="123"/>
      <c r="AF48" s="123"/>
      <c r="AG48" s="149"/>
      <c r="AH48" s="149"/>
      <c r="AI48" s="123"/>
      <c r="AJ48" s="123"/>
      <c r="AK48" s="123"/>
      <c r="AL48" s="123"/>
    </row>
    <row r="49" spans="2:38" ht="15" customHeight="1" x14ac:dyDescent="0.3">
      <c r="B49" s="261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4"/>
      <c r="O49" s="234">
        <v>2</v>
      </c>
      <c r="P49" s="187">
        <v>2.38</v>
      </c>
      <c r="Q49" s="187">
        <v>100</v>
      </c>
      <c r="R49" s="234"/>
      <c r="S49" s="234"/>
      <c r="T49" s="268"/>
      <c r="U49" s="268"/>
      <c r="V49" s="237"/>
      <c r="W49" s="237"/>
      <c r="X49" s="237"/>
      <c r="Y49" s="237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.75" customHeight="1" x14ac:dyDescent="0.3">
      <c r="B50" s="261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4"/>
      <c r="O50" s="234">
        <v>1.19</v>
      </c>
      <c r="P50" s="187">
        <v>2.38</v>
      </c>
      <c r="Q50" s="187">
        <v>0</v>
      </c>
      <c r="R50" s="234"/>
      <c r="S50" s="234"/>
      <c r="T50" s="268"/>
      <c r="U50" s="268"/>
      <c r="V50" s="282"/>
      <c r="W50" s="282"/>
      <c r="X50" s="231"/>
      <c r="Y50" s="237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3.5" customHeight="1" x14ac:dyDescent="0.3">
      <c r="B51" s="261"/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4"/>
      <c r="O51" s="234">
        <v>0.59499999999999997</v>
      </c>
      <c r="P51" s="187">
        <v>1.19</v>
      </c>
      <c r="Q51" s="187">
        <v>100</v>
      </c>
      <c r="R51" s="234"/>
      <c r="S51" s="234"/>
      <c r="T51" s="234"/>
      <c r="U51" s="284"/>
      <c r="V51" s="285"/>
      <c r="W51" s="237"/>
      <c r="X51" s="237"/>
      <c r="Y51" s="237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4.25" customHeight="1" x14ac:dyDescent="0.3">
      <c r="B52" s="261"/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4"/>
      <c r="O52" s="234">
        <v>0.42499999999999999</v>
      </c>
      <c r="P52" s="187">
        <v>1.19</v>
      </c>
      <c r="Q52" s="187">
        <v>0</v>
      </c>
      <c r="R52" s="234"/>
      <c r="S52" s="234"/>
      <c r="T52" s="234"/>
      <c r="U52" s="272"/>
      <c r="V52" s="285"/>
      <c r="W52" s="237"/>
      <c r="X52" s="237"/>
      <c r="Y52" s="237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.75" customHeight="1" x14ac:dyDescent="0.3">
      <c r="B53" s="261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4"/>
      <c r="O53" s="234">
        <v>0.29499999999999998</v>
      </c>
      <c r="P53" s="187">
        <v>0.59499999999999997</v>
      </c>
      <c r="Q53" s="187">
        <v>100</v>
      </c>
      <c r="R53" s="234"/>
      <c r="S53" s="234"/>
      <c r="T53" s="286"/>
      <c r="U53" s="286"/>
      <c r="V53" s="285"/>
      <c r="W53" s="237"/>
      <c r="X53" s="231"/>
      <c r="Y53" s="237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5" customHeight="1" x14ac:dyDescent="0.3">
      <c r="B54" s="261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4"/>
      <c r="O54" s="234"/>
      <c r="P54" s="187">
        <v>0.59499999999999997</v>
      </c>
      <c r="Q54" s="187">
        <v>0</v>
      </c>
      <c r="R54" s="234"/>
      <c r="S54" s="234"/>
      <c r="T54" s="234"/>
      <c r="U54" s="286"/>
      <c r="V54" s="285"/>
      <c r="W54" s="237"/>
      <c r="X54" s="237"/>
      <c r="Y54" s="237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5.75" customHeight="1" x14ac:dyDescent="0.3">
      <c r="B55" s="261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4"/>
      <c r="O55" s="234"/>
      <c r="P55" s="187">
        <v>0.29699999999999999</v>
      </c>
      <c r="Q55" s="187">
        <v>100</v>
      </c>
      <c r="R55" s="234"/>
      <c r="S55" s="234"/>
      <c r="T55" s="234"/>
      <c r="U55" s="286"/>
      <c r="V55" s="285"/>
      <c r="W55" s="237"/>
      <c r="X55" s="237"/>
      <c r="Y55" s="237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5.75" customHeight="1" x14ac:dyDescent="0.3">
      <c r="B56" s="261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4"/>
      <c r="O56" s="234"/>
      <c r="P56" s="187">
        <v>0.29699999999999999</v>
      </c>
      <c r="Q56" s="187">
        <v>0</v>
      </c>
      <c r="R56" s="234"/>
      <c r="S56" s="234"/>
      <c r="T56" s="234"/>
      <c r="U56" s="286"/>
      <c r="V56" s="285"/>
      <c r="W56" s="237"/>
      <c r="X56" s="237"/>
      <c r="Y56" s="237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5.75" customHeight="1" x14ac:dyDescent="0.3">
      <c r="B57" s="261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4"/>
      <c r="O57" s="234"/>
      <c r="P57" s="248">
        <v>0.14899999999999999</v>
      </c>
      <c r="Q57" s="187">
        <v>100</v>
      </c>
      <c r="R57" s="234"/>
      <c r="S57" s="234"/>
      <c r="T57" s="234"/>
      <c r="U57" s="286"/>
      <c r="V57" s="285"/>
      <c r="W57" s="237"/>
      <c r="X57" s="237"/>
      <c r="Y57" s="237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.75" customHeight="1" thickBot="1" x14ac:dyDescent="0.35">
      <c r="B58" s="261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4"/>
      <c r="O58" s="234"/>
      <c r="P58" s="187">
        <v>0.14899999999999999</v>
      </c>
      <c r="Q58" s="187">
        <v>0</v>
      </c>
      <c r="R58" s="234"/>
      <c r="S58" s="234"/>
      <c r="T58" s="234"/>
      <c r="U58" s="286"/>
      <c r="V58" s="285"/>
      <c r="W58" s="237"/>
      <c r="X58" s="237"/>
      <c r="Y58" s="237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6.5" customHeight="1" thickBot="1" x14ac:dyDescent="0.35">
      <c r="B59" s="299" t="s">
        <v>92</v>
      </c>
      <c r="C59" s="300"/>
      <c r="D59" s="300"/>
      <c r="E59" s="300"/>
      <c r="F59" s="300"/>
      <c r="G59" s="300"/>
      <c r="H59" s="301"/>
      <c r="I59" s="302" t="s">
        <v>93</v>
      </c>
      <c r="J59" s="300"/>
      <c r="K59" s="300"/>
      <c r="L59" s="300"/>
      <c r="M59" s="300"/>
      <c r="N59" s="303"/>
      <c r="O59" s="234"/>
      <c r="P59" s="187">
        <v>6.38</v>
      </c>
      <c r="Q59" s="187">
        <v>100</v>
      </c>
      <c r="R59" s="234"/>
      <c r="S59" s="234"/>
      <c r="T59" s="234"/>
      <c r="U59" s="273"/>
      <c r="V59" s="286"/>
      <c r="W59" s="268"/>
      <c r="X59" s="268"/>
      <c r="Y59" s="268"/>
      <c r="AE59" s="142"/>
    </row>
    <row r="60" spans="2:38" ht="12" customHeight="1" x14ac:dyDescent="0.3">
      <c r="B60" s="310" t="s">
        <v>138</v>
      </c>
      <c r="C60" s="311"/>
      <c r="D60" s="311"/>
      <c r="E60" s="311"/>
      <c r="F60" s="311"/>
      <c r="G60" s="311"/>
      <c r="H60" s="312"/>
      <c r="I60" s="304" t="s">
        <v>95</v>
      </c>
      <c r="J60" s="304"/>
      <c r="K60" s="304"/>
      <c r="L60" s="304"/>
      <c r="M60" s="304"/>
      <c r="N60" s="305"/>
      <c r="O60" s="234"/>
      <c r="P60" s="187">
        <v>6.38</v>
      </c>
      <c r="Q60" s="187">
        <v>0</v>
      </c>
      <c r="R60" s="234"/>
      <c r="S60" s="234"/>
      <c r="T60" s="234"/>
      <c r="U60" s="234"/>
      <c r="V60" s="234"/>
      <c r="W60" s="268"/>
      <c r="X60" s="268"/>
      <c r="Y60" s="268"/>
      <c r="AE60" s="142"/>
    </row>
    <row r="61" spans="2:38" ht="14.25" customHeight="1" thickBot="1" x14ac:dyDescent="0.35">
      <c r="B61" s="313"/>
      <c r="C61" s="314"/>
      <c r="D61" s="314"/>
      <c r="E61" s="314"/>
      <c r="F61" s="314"/>
      <c r="G61" s="314"/>
      <c r="H61" s="315"/>
      <c r="I61" s="306"/>
      <c r="J61" s="306"/>
      <c r="K61" s="306"/>
      <c r="L61" s="306"/>
      <c r="M61" s="306"/>
      <c r="N61" s="307"/>
      <c r="O61" s="234"/>
      <c r="P61" s="234"/>
      <c r="Q61" s="234"/>
      <c r="R61" s="234"/>
      <c r="S61" s="234"/>
      <c r="T61" s="234"/>
      <c r="U61" s="234"/>
      <c r="V61" s="234"/>
      <c r="W61" s="268"/>
      <c r="X61" s="268"/>
      <c r="Y61" s="268"/>
      <c r="Z61" s="2"/>
      <c r="AA61" s="308"/>
      <c r="AB61" s="309"/>
      <c r="AE61" s="142"/>
    </row>
    <row r="62" spans="2:38" ht="13.5" customHeight="1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3" spans="2:38" ht="13.5" customHeight="1" x14ac:dyDescent="0.2"/>
    <row r="64" spans="2:38" ht="13.5" customHeight="1" x14ac:dyDescent="0.2"/>
    <row r="65" spans="12:18" ht="13.5" customHeight="1" x14ac:dyDescent="0.2">
      <c r="L65" s="1" t="s">
        <v>97</v>
      </c>
    </row>
    <row r="66" spans="12:18" ht="13.5" customHeight="1" x14ac:dyDescent="0.2"/>
    <row r="67" spans="12:18" ht="13.5" customHeight="1" x14ac:dyDescent="0.2"/>
    <row r="68" spans="12:18" ht="13.5" customHeight="1" x14ac:dyDescent="0.2"/>
    <row r="69" spans="12:18" ht="13.5" customHeight="1" x14ac:dyDescent="0.2"/>
    <row r="70" spans="12:18" ht="13.5" customHeight="1" x14ac:dyDescent="0.2">
      <c r="P70" s="46"/>
      <c r="Q70" s="46"/>
      <c r="R70" s="46"/>
    </row>
    <row r="71" spans="12:18" ht="13.5" customHeight="1" x14ac:dyDescent="0.2"/>
    <row r="72" spans="12:18" ht="13.5" customHeight="1" x14ac:dyDescent="0.2"/>
    <row r="73" spans="12:18" ht="13.5" customHeight="1" x14ac:dyDescent="0.2"/>
    <row r="74" spans="12:18" ht="13.5" customHeight="1" x14ac:dyDescent="0.2"/>
    <row r="75" spans="12:18" ht="13.5" customHeight="1" x14ac:dyDescent="0.2"/>
    <row r="76" spans="12:18" ht="13.5" customHeight="1" x14ac:dyDescent="0.2"/>
    <row r="77" spans="12:18" ht="13.5" customHeight="1" x14ac:dyDescent="0.2"/>
    <row r="78" spans="12:18" ht="13.5" customHeight="1" x14ac:dyDescent="0.2"/>
  </sheetData>
  <mergeCells count="68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B6:D6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I60:N61"/>
    <mergeCell ref="AA61:AB61"/>
    <mergeCell ref="B60:H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17" priority="3" stopIfTrue="1" operator="equal">
      <formula>""""""</formula>
    </cfRule>
  </conditionalFormatting>
  <conditionalFormatting sqref="K18:M18 K23:K25 L25:M25">
    <cfRule type="cellIs" dxfId="16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15" priority="1" stopIfTrue="1" operator="equal">
      <formula>""""""</formula>
    </cfRule>
  </conditionalFormatting>
  <printOptions horizontalCentered="1" verticalCentered="1"/>
  <pageMargins left="0.47244094488188981" right="0.59055118110236227" top="0.47244094488188981" bottom="0.59055118110236227" header="0" footer="0"/>
  <pageSetup scale="81"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70"/>
  <sheetViews>
    <sheetView topLeftCell="D10" zoomScale="84" zoomScaleNormal="84" workbookViewId="0">
      <selection activeCell="Y35" sqref="Y35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382"/>
      <c r="C2" s="383"/>
      <c r="D2" s="383"/>
      <c r="E2" s="384"/>
      <c r="F2" s="391" t="s">
        <v>1</v>
      </c>
      <c r="G2" s="392"/>
      <c r="H2" s="392"/>
      <c r="I2" s="392"/>
      <c r="J2" s="483"/>
      <c r="K2" s="159" t="s">
        <v>2</v>
      </c>
      <c r="L2" s="485">
        <v>43891</v>
      </c>
      <c r="M2" s="485"/>
      <c r="N2" s="485"/>
      <c r="O2" s="2"/>
      <c r="P2" s="2"/>
      <c r="Q2" s="2"/>
      <c r="R2" s="2"/>
      <c r="S2" s="2"/>
      <c r="T2" s="2"/>
      <c r="U2" s="2"/>
    </row>
    <row r="3" spans="1:58" ht="12" customHeight="1" x14ac:dyDescent="0.2">
      <c r="B3" s="385"/>
      <c r="C3" s="386"/>
      <c r="D3" s="386"/>
      <c r="E3" s="387"/>
      <c r="F3" s="393"/>
      <c r="G3" s="394"/>
      <c r="H3" s="394"/>
      <c r="I3" s="394"/>
      <c r="J3" s="484"/>
      <c r="K3" s="160" t="s">
        <v>3</v>
      </c>
      <c r="L3" s="486">
        <v>3</v>
      </c>
      <c r="M3" s="486"/>
      <c r="N3" s="486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388"/>
      <c r="C4" s="389"/>
      <c r="D4" s="389"/>
      <c r="E4" s="390"/>
      <c r="F4" s="405" t="s">
        <v>4</v>
      </c>
      <c r="G4" s="406"/>
      <c r="H4" s="406"/>
      <c r="I4" s="406"/>
      <c r="J4" s="407"/>
      <c r="K4" s="487" t="s">
        <v>5</v>
      </c>
      <c r="L4" s="487"/>
      <c r="M4" s="488">
        <v>2</v>
      </c>
      <c r="N4" s="489"/>
      <c r="O4" s="463" t="s">
        <v>6</v>
      </c>
      <c r="P4" s="464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378" t="s">
        <v>8</v>
      </c>
      <c r="C5" s="379"/>
      <c r="D5" s="380"/>
      <c r="E5" s="482" t="s">
        <v>98</v>
      </c>
      <c r="F5" s="482"/>
      <c r="G5" s="482"/>
      <c r="H5" s="482"/>
      <c r="I5" s="482"/>
      <c r="J5" s="482"/>
      <c r="K5" s="174"/>
      <c r="L5" s="174"/>
      <c r="M5" s="379"/>
      <c r="N5" s="462"/>
      <c r="O5" s="463" t="s">
        <v>9</v>
      </c>
      <c r="P5" s="464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379"/>
      <c r="G6" s="379"/>
      <c r="H6" s="379"/>
      <c r="I6" s="379"/>
      <c r="J6" s="379"/>
      <c r="K6" s="379"/>
      <c r="L6" s="379"/>
      <c r="M6" s="379"/>
      <c r="N6" s="462"/>
      <c r="O6" s="463" t="s">
        <v>11</v>
      </c>
      <c r="P6" s="464" t="s">
        <v>7</v>
      </c>
      <c r="Q6" s="158">
        <v>67.599999999999994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5" t="s">
        <v>12</v>
      </c>
      <c r="C7" s="466"/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467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8"/>
      <c r="C8" s="469"/>
      <c r="D8" s="469"/>
      <c r="E8" s="469"/>
      <c r="F8" s="469"/>
      <c r="G8" s="469"/>
      <c r="H8" s="469"/>
      <c r="I8" s="469"/>
      <c r="J8" s="469"/>
      <c r="K8" s="469"/>
      <c r="L8" s="469"/>
      <c r="M8" s="469"/>
      <c r="N8" s="470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67.599999999999994</v>
      </c>
      <c r="F10" s="28" t="s">
        <v>20</v>
      </c>
      <c r="G10" s="27">
        <f>IF(Q24="a",Q23,SUM(Q10:Q23))</f>
        <v>1E-3</v>
      </c>
      <c r="H10" s="29"/>
      <c r="I10" s="471" t="s">
        <v>21</v>
      </c>
      <c r="J10" s="472"/>
      <c r="K10" s="472"/>
      <c r="L10" s="472"/>
      <c r="M10" s="473"/>
      <c r="N10" s="30"/>
      <c r="O10" s="31">
        <v>76.2</v>
      </c>
      <c r="P10" s="32">
        <f>IF(X10=0," ",X10)</f>
        <v>100</v>
      </c>
      <c r="Q10" s="154">
        <v>0</v>
      </c>
      <c r="R10" s="33" t="s">
        <v>22</v>
      </c>
      <c r="S10" s="34" t="s">
        <v>23</v>
      </c>
      <c r="T10" s="32">
        <f>X23-35</f>
        <v>65</v>
      </c>
      <c r="U10" s="35"/>
      <c r="V10" s="36">
        <f>IF($Q$24="I",V9+Q10,Q10)</f>
        <v>0</v>
      </c>
      <c r="W10" s="37">
        <f>Q10</f>
        <v>0</v>
      </c>
      <c r="X10" s="37">
        <f>ROUND(G13,0)</f>
        <v>100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4" t="s">
        <v>24</v>
      </c>
      <c r="D11" s="475"/>
      <c r="E11" s="476" t="s">
        <v>25</v>
      </c>
      <c r="F11" s="478" t="s">
        <v>26</v>
      </c>
      <c r="G11" s="478" t="s">
        <v>27</v>
      </c>
      <c r="H11" s="29"/>
      <c r="I11" s="480" t="s">
        <v>28</v>
      </c>
      <c r="J11" s="449"/>
      <c r="K11" s="449">
        <v>1</v>
      </c>
      <c r="L11" s="449">
        <v>2</v>
      </c>
      <c r="M11" s="451">
        <v>3</v>
      </c>
      <c r="N11" s="30"/>
      <c r="O11" s="31">
        <v>63.5</v>
      </c>
      <c r="P11" s="32">
        <f t="shared" ref="P11:P23" si="0">IF(X11=0," ",X11)</f>
        <v>100</v>
      </c>
      <c r="Q11" s="154">
        <v>0</v>
      </c>
      <c r="R11" s="33" t="s">
        <v>29</v>
      </c>
      <c r="S11" s="34" t="s">
        <v>23</v>
      </c>
      <c r="T11" s="32">
        <f>X23-15</f>
        <v>85</v>
      </c>
      <c r="U11" s="35"/>
      <c r="V11" s="36">
        <f>IF($Q$24="I",V10+Q11,Q11)</f>
        <v>0</v>
      </c>
      <c r="W11" s="37">
        <f>IF(AND(V11=0,X10=100),0,IF(V11=V10,((V12-V10)*(O10-O11)/(O10-O12)+V10),V11))</f>
        <v>0</v>
      </c>
      <c r="X11" s="37">
        <f t="shared" ref="X11:X19" si="1">ROUND(G14,0)</f>
        <v>100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7"/>
      <c r="F12" s="479"/>
      <c r="G12" s="479"/>
      <c r="H12" s="42"/>
      <c r="I12" s="481"/>
      <c r="J12" s="450"/>
      <c r="K12" s="450"/>
      <c r="L12" s="450"/>
      <c r="M12" s="452"/>
      <c r="N12" s="43"/>
      <c r="O12" s="31">
        <v>50.8</v>
      </c>
      <c r="P12" s="32">
        <f t="shared" si="0"/>
        <v>100</v>
      </c>
      <c r="Q12" s="155">
        <v>0</v>
      </c>
      <c r="R12" s="33" t="s">
        <v>32</v>
      </c>
      <c r="S12" s="34" t="s">
        <v>33</v>
      </c>
      <c r="T12" s="32" t="e">
        <f>Q27-40</f>
        <v>#VALUE!</v>
      </c>
      <c r="U12" s="35"/>
      <c r="V12" s="36">
        <f>IF($Q$24="I",V11+Q12,Q12)</f>
        <v>0</v>
      </c>
      <c r="W12" s="37">
        <f>IF(AND(V12=0,X11=100),0,IF(V12=V11,((V13-V11)*(O11-O12)/(O11-O13)+V11),V12))</f>
        <v>0</v>
      </c>
      <c r="X12" s="37">
        <f t="shared" si="1"/>
        <v>100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>
        <f t="shared" ref="F13:F26" si="3">(100/$E$10)*E13</f>
        <v>0</v>
      </c>
      <c r="G13" s="52">
        <f>100-F13</f>
        <v>100</v>
      </c>
      <c r="H13" s="53"/>
      <c r="I13" s="453" t="s">
        <v>35</v>
      </c>
      <c r="J13" s="454"/>
      <c r="K13" s="54"/>
      <c r="L13" s="54"/>
      <c r="M13" s="55"/>
      <c r="N13" s="56"/>
      <c r="O13" s="31">
        <v>38.1</v>
      </c>
      <c r="P13" s="32">
        <f t="shared" si="0"/>
        <v>100</v>
      </c>
      <c r="Q13" s="154">
        <v>0</v>
      </c>
      <c r="R13" s="33" t="s">
        <v>36</v>
      </c>
      <c r="S13" s="34" t="s">
        <v>37</v>
      </c>
      <c r="T13" s="32" t="e">
        <f>F32-10</f>
        <v>#VALUE!</v>
      </c>
      <c r="U13" s="35"/>
      <c r="V13" s="36">
        <f>IF($Q$24="I",V12+Q13,Q13)</f>
        <v>0</v>
      </c>
      <c r="W13" s="37">
        <f>IF(AND(V13=0,X12=100),0,IF(V13=V12,((V14-V12)*(O12-O13)/(O12-O14)+V12),V13))</f>
        <v>0</v>
      </c>
      <c r="X13" s="37">
        <f t="shared" si="1"/>
        <v>100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>
        <f>W11-W10</f>
        <v>0</v>
      </c>
      <c r="F14" s="63">
        <f>(100/$E$10)*E14</f>
        <v>0</v>
      </c>
      <c r="G14" s="64">
        <f>G13-F14</f>
        <v>100</v>
      </c>
      <c r="H14" s="53"/>
      <c r="I14" s="447" t="s">
        <v>39</v>
      </c>
      <c r="J14" s="448"/>
      <c r="K14" s="161">
        <v>15</v>
      </c>
      <c r="L14" s="161">
        <v>26</v>
      </c>
      <c r="M14" s="162">
        <v>36</v>
      </c>
      <c r="N14" s="56"/>
      <c r="O14" s="31">
        <v>25.4</v>
      </c>
      <c r="P14" s="32">
        <f t="shared" si="0"/>
        <v>100</v>
      </c>
      <c r="Q14" s="154">
        <v>0</v>
      </c>
      <c r="R14" s="33">
        <v>1</v>
      </c>
      <c r="S14" s="34" t="s">
        <v>40</v>
      </c>
      <c r="T14" s="65" t="e">
        <f>Q27-30</f>
        <v>#VALUE!</v>
      </c>
      <c r="U14" s="65"/>
      <c r="V14" s="36">
        <f t="shared" ref="V14:V26" si="4">IF($Q$24="I",V13+Q14,Q14)</f>
        <v>0</v>
      </c>
      <c r="W14" s="37">
        <f t="shared" ref="W14:W23" si="5">IF(AND(V14=0,X13=100),0,IF(V14=V13,((V15-V13)*(O13-O14)/(O13-O15)+V13),V14))</f>
        <v>0</v>
      </c>
      <c r="X14" s="37">
        <f>ROUND(G17,0)</f>
        <v>100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>
        <f t="shared" si="3"/>
        <v>0</v>
      </c>
      <c r="G15" s="64">
        <f t="shared" ref="G15:G26" si="7">G14-F15</f>
        <v>100</v>
      </c>
      <c r="H15" s="53"/>
      <c r="I15" s="441" t="s">
        <v>41</v>
      </c>
      <c r="J15" s="442"/>
      <c r="K15" s="163" t="s">
        <v>104</v>
      </c>
      <c r="L15" s="161" t="s">
        <v>106</v>
      </c>
      <c r="M15" s="164" t="s">
        <v>109</v>
      </c>
      <c r="N15" s="56"/>
      <c r="O15" s="31">
        <v>19.05</v>
      </c>
      <c r="P15" s="32">
        <f t="shared" si="0"/>
        <v>100</v>
      </c>
      <c r="Q15" s="154">
        <v>0</v>
      </c>
      <c r="R15" s="33" t="s">
        <v>42</v>
      </c>
      <c r="S15" s="34" t="s">
        <v>43</v>
      </c>
      <c r="T15" s="66">
        <f>IF(X18=0,0,100-X18)</f>
        <v>0</v>
      </c>
      <c r="U15" s="66"/>
      <c r="V15" s="36">
        <f t="shared" si="4"/>
        <v>0</v>
      </c>
      <c r="W15" s="37">
        <f t="shared" si="5"/>
        <v>0</v>
      </c>
      <c r="X15" s="37">
        <f t="shared" si="1"/>
        <v>100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>
        <f t="shared" si="3"/>
        <v>0</v>
      </c>
      <c r="G16" s="64">
        <f t="shared" si="7"/>
        <v>100</v>
      </c>
      <c r="H16" s="53"/>
      <c r="I16" s="441" t="s">
        <v>45</v>
      </c>
      <c r="J16" s="442"/>
      <c r="K16" s="161" t="s">
        <v>105</v>
      </c>
      <c r="L16" s="161" t="s">
        <v>107</v>
      </c>
      <c r="M16" s="162" t="s">
        <v>110</v>
      </c>
      <c r="N16" s="56"/>
      <c r="O16" s="31">
        <v>12.7</v>
      </c>
      <c r="P16" s="32">
        <f t="shared" si="0"/>
        <v>100</v>
      </c>
      <c r="Q16" s="154">
        <v>0</v>
      </c>
      <c r="R16" s="33" t="s">
        <v>46</v>
      </c>
      <c r="S16" s="34" t="s">
        <v>47</v>
      </c>
      <c r="T16" s="66">
        <f>IF(X18=0,100-X23,X18-X23)</f>
        <v>0</v>
      </c>
      <c r="U16" s="66"/>
      <c r="V16" s="36">
        <f>IF($Q$24="I",V15+Q16,Q16)</f>
        <v>0</v>
      </c>
      <c r="W16" s="37">
        <f t="shared" si="5"/>
        <v>0</v>
      </c>
      <c r="X16" s="37">
        <f>ROUND(G19,0)</f>
        <v>100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>
        <f t="shared" si="3"/>
        <v>0</v>
      </c>
      <c r="G17" s="64">
        <f t="shared" si="7"/>
        <v>100</v>
      </c>
      <c r="H17" s="53"/>
      <c r="I17" s="441" t="s">
        <v>50</v>
      </c>
      <c r="J17" s="442"/>
      <c r="K17" s="161">
        <v>10</v>
      </c>
      <c r="L17" s="163" t="s">
        <v>108</v>
      </c>
      <c r="M17" s="164" t="s">
        <v>111</v>
      </c>
      <c r="N17" s="56"/>
      <c r="O17" s="31">
        <v>9.52</v>
      </c>
      <c r="P17" s="32">
        <f t="shared" si="0"/>
        <v>100</v>
      </c>
      <c r="Q17" s="154">
        <v>0</v>
      </c>
      <c r="R17" s="33" t="s">
        <v>51</v>
      </c>
      <c r="S17" s="34" t="s">
        <v>52</v>
      </c>
      <c r="T17" s="66" t="e">
        <f>(R27-20)*0.73</f>
        <v>#VALUE!</v>
      </c>
      <c r="U17" s="66"/>
      <c r="V17" s="36">
        <f>IF($Q$24="I",V16+Q17,Q17)</f>
        <v>0</v>
      </c>
      <c r="W17" s="37">
        <f>IF(AND(V17=0,X16=100),0,IF(V17=V16,((V18-V16)*(O16-O17)/(O16-O18)+V16),V17))</f>
        <v>0</v>
      </c>
      <c r="X17" s="37">
        <f t="shared" si="1"/>
        <v>100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>
        <f t="shared" si="3"/>
        <v>0</v>
      </c>
      <c r="G18" s="64">
        <f t="shared" si="7"/>
        <v>100</v>
      </c>
      <c r="H18" s="53"/>
      <c r="I18" s="443" t="s">
        <v>54</v>
      </c>
      <c r="J18" s="444"/>
      <c r="K18" s="165" t="e">
        <f>(K15-K16)*100/(K16-K17)</f>
        <v>#VALUE!</v>
      </c>
      <c r="L18" s="165" t="e">
        <f>(L15-L16)*100/(L16-L17)</f>
        <v>#VALUE!</v>
      </c>
      <c r="M18" s="166" t="e">
        <f>(M15-M16)*100/(M16-M17)</f>
        <v>#VALUE!</v>
      </c>
      <c r="N18" s="56"/>
      <c r="O18" s="31">
        <v>4.76</v>
      </c>
      <c r="P18" s="32">
        <f t="shared" si="0"/>
        <v>100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>
        <f t="shared" si="5"/>
        <v>0</v>
      </c>
      <c r="X18" s="37">
        <f t="shared" si="1"/>
        <v>100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>
        <f t="shared" si="3"/>
        <v>0</v>
      </c>
      <c r="G19" s="64">
        <f t="shared" si="7"/>
        <v>100</v>
      </c>
      <c r="H19" s="53"/>
      <c r="I19" s="455" t="s">
        <v>56</v>
      </c>
      <c r="J19" s="456"/>
      <c r="K19" s="456"/>
      <c r="L19" s="456"/>
      <c r="M19" s="457" t="s">
        <v>57</v>
      </c>
      <c r="N19" s="56"/>
      <c r="O19" s="67">
        <v>2</v>
      </c>
      <c r="P19" s="32">
        <f t="shared" si="0"/>
        <v>100</v>
      </c>
      <c r="Q19" s="154">
        <v>0</v>
      </c>
      <c r="R19" s="33" t="s">
        <v>58</v>
      </c>
      <c r="S19" s="68" t="s">
        <v>59</v>
      </c>
      <c r="T19" s="32">
        <f>IF(AND(T10&gt;1,T10&lt;=40),T10,0)</f>
        <v>0</v>
      </c>
      <c r="U19" s="35"/>
      <c r="V19" s="36">
        <f t="shared" si="4"/>
        <v>0</v>
      </c>
      <c r="W19" s="37">
        <f t="shared" si="5"/>
        <v>0</v>
      </c>
      <c r="X19" s="37">
        <f t="shared" si="1"/>
        <v>100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>
        <f t="shared" si="3"/>
        <v>0</v>
      </c>
      <c r="G20" s="64">
        <f t="shared" si="7"/>
        <v>100</v>
      </c>
      <c r="H20" s="53"/>
      <c r="I20" s="459" t="s">
        <v>28</v>
      </c>
      <c r="J20" s="460"/>
      <c r="K20" s="173">
        <v>1</v>
      </c>
      <c r="L20" s="167">
        <v>2</v>
      </c>
      <c r="M20" s="458"/>
      <c r="N20" s="56"/>
      <c r="O20" s="67">
        <v>2</v>
      </c>
      <c r="P20" s="32">
        <f t="shared" si="0"/>
        <v>100</v>
      </c>
      <c r="Q20" s="154">
        <v>0</v>
      </c>
      <c r="R20" s="33" t="s">
        <v>61</v>
      </c>
      <c r="S20" s="34" t="s">
        <v>62</v>
      </c>
      <c r="T20" s="32">
        <f>IF(AND(T11&gt;1,T11&lt;=40),ROUND(T11,1),0)</f>
        <v>0</v>
      </c>
      <c r="U20" s="35"/>
      <c r="V20" s="36">
        <f t="shared" si="4"/>
        <v>0</v>
      </c>
      <c r="W20" s="37">
        <f t="shared" si="5"/>
        <v>0</v>
      </c>
      <c r="X20" s="37">
        <f>ROUND(G23,0)</f>
        <v>100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>
        <f t="shared" si="3"/>
        <v>0</v>
      </c>
      <c r="G21" s="64">
        <f t="shared" si="7"/>
        <v>100</v>
      </c>
      <c r="H21" s="53"/>
      <c r="I21" s="447" t="s">
        <v>35</v>
      </c>
      <c r="J21" s="448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>
        <f t="shared" si="0"/>
        <v>100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#VALUE!</v>
      </c>
      <c r="U21" s="35"/>
      <c r="V21" s="36">
        <f t="shared" si="4"/>
        <v>0</v>
      </c>
      <c r="W21" s="37">
        <f t="shared" si="5"/>
        <v>0</v>
      </c>
      <c r="X21" s="37">
        <f>ROUND(G24,0)</f>
        <v>100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>
        <f t="shared" si="3"/>
        <v>0</v>
      </c>
      <c r="G22" s="64">
        <f t="shared" si="7"/>
        <v>100</v>
      </c>
      <c r="H22" s="53"/>
      <c r="I22" s="441" t="s">
        <v>41</v>
      </c>
      <c r="J22" s="442"/>
      <c r="K22" s="161" t="s">
        <v>101</v>
      </c>
      <c r="L22" s="163" t="s">
        <v>112</v>
      </c>
      <c r="M22" s="163" t="s">
        <v>99</v>
      </c>
      <c r="N22" s="56"/>
      <c r="O22" s="71">
        <v>0.42499999999999999</v>
      </c>
      <c r="P22" s="32">
        <f>IF(X22=0," ",X22)</f>
        <v>100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#VALUE!</v>
      </c>
      <c r="U22" s="35"/>
      <c r="V22" s="36">
        <f t="shared" si="4"/>
        <v>0</v>
      </c>
      <c r="W22" s="37">
        <f t="shared" si="5"/>
        <v>0</v>
      </c>
      <c r="X22" s="37">
        <f>ROUND(G25,0)</f>
        <v>100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>
        <f t="shared" si="3"/>
        <v>0</v>
      </c>
      <c r="G23" s="64">
        <f t="shared" si="7"/>
        <v>100</v>
      </c>
      <c r="H23" s="53"/>
      <c r="I23" s="441" t="s">
        <v>45</v>
      </c>
      <c r="J23" s="442"/>
      <c r="K23" s="161" t="s">
        <v>102</v>
      </c>
      <c r="L23" s="163" t="s">
        <v>113</v>
      </c>
      <c r="M23" s="163" t="s">
        <v>100</v>
      </c>
      <c r="N23" s="56"/>
      <c r="O23" s="31">
        <v>7.3999999999999996E-2</v>
      </c>
      <c r="P23" s="32">
        <f t="shared" si="0"/>
        <v>100</v>
      </c>
      <c r="Q23" s="156">
        <v>1E-3</v>
      </c>
      <c r="R23" s="34" t="s">
        <v>68</v>
      </c>
      <c r="S23" s="72" t="s">
        <v>69</v>
      </c>
      <c r="T23" s="73" t="str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/>
      </c>
      <c r="U23" s="74"/>
      <c r="V23" s="36">
        <f t="shared" si="4"/>
        <v>1E-3</v>
      </c>
      <c r="W23" s="37">
        <f t="shared" si="5"/>
        <v>1E-3</v>
      </c>
      <c r="X23" s="37">
        <f>ROUND(G26,0)</f>
        <v>100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>
        <f t="shared" si="3"/>
        <v>0</v>
      </c>
      <c r="G24" s="64">
        <f t="shared" si="7"/>
        <v>100</v>
      </c>
      <c r="H24" s="53"/>
      <c r="I24" s="441" t="s">
        <v>50</v>
      </c>
      <c r="J24" s="442"/>
      <c r="K24" s="163" t="s">
        <v>103</v>
      </c>
      <c r="L24" s="163" t="s">
        <v>114</v>
      </c>
      <c r="M24" s="169">
        <v>21</v>
      </c>
      <c r="N24" s="56"/>
      <c r="O24" s="22"/>
      <c r="P24" s="22"/>
      <c r="Q24" s="75" t="s">
        <v>70</v>
      </c>
      <c r="R24" s="76" t="e">
        <f>SLOPE(K18:M18,LN(K14:M14))</f>
        <v>#VALUE!</v>
      </c>
      <c r="S24" s="72" t="s">
        <v>71</v>
      </c>
      <c r="T24" s="157" t="str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/>
      </c>
      <c r="U24" s="74"/>
      <c r="V24" s="36" t="e">
        <f t="shared" si="4"/>
        <v>#VALUE!</v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>
        <f t="shared" si="3"/>
        <v>0</v>
      </c>
      <c r="G25" s="64">
        <f t="shared" si="7"/>
        <v>100</v>
      </c>
      <c r="H25" s="53"/>
      <c r="I25" s="443" t="s">
        <v>54</v>
      </c>
      <c r="J25" s="444"/>
      <c r="K25" s="165" t="e">
        <f>(K22-K23)*100/(K23-K24)</f>
        <v>#VALUE!</v>
      </c>
      <c r="L25" s="165" t="e">
        <f>(L22-L23)*100/(L23-L24)</f>
        <v>#VALUE!</v>
      </c>
      <c r="M25" s="165" t="e">
        <f>(M22-M23)*100/(M23-M24)</f>
        <v>#VALUE!</v>
      </c>
      <c r="N25" s="56"/>
      <c r="O25" s="445" t="s">
        <v>73</v>
      </c>
      <c r="P25" s="446"/>
      <c r="Q25" s="78"/>
      <c r="R25" s="79" t="e">
        <f>INTERCEPT(K18:M18,LN(K14:M14))</f>
        <v>#VALUE!</v>
      </c>
      <c r="S25" s="72" t="s">
        <v>74</v>
      </c>
      <c r="T25" s="73" t="str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/>
      </c>
      <c r="U25" s="74"/>
      <c r="V25" s="36" t="e">
        <f t="shared" si="4"/>
        <v>#VALUE!</v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1E-3</v>
      </c>
      <c r="F26" s="63">
        <f t="shared" si="3"/>
        <v>1.4792899408284025E-3</v>
      </c>
      <c r="G26" s="64">
        <f t="shared" si="7"/>
        <v>99.998520710059168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36" t="e">
        <f t="shared" si="4"/>
        <v>#VALUE!</v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>
        <f>Q6-SUM(E13:E26)</f>
        <v>67.59899999999999</v>
      </c>
      <c r="F27" s="85">
        <f>100-SUM(F13:F26)</f>
        <v>99.998520710059168</v>
      </c>
      <c r="G27" s="86"/>
      <c r="H27" s="53"/>
      <c r="I27" s="87">
        <f>IF(OR(I35=0,I31=0),0,ROUND(I35/I31,0))</f>
        <v>0</v>
      </c>
      <c r="J27" s="88"/>
      <c r="K27" s="88"/>
      <c r="L27" s="88"/>
      <c r="M27" s="88"/>
      <c r="N27" s="56"/>
      <c r="O27" s="430" t="s">
        <v>79</v>
      </c>
      <c r="P27" s="431"/>
      <c r="Q27" s="73" t="e">
        <f>IF(AND(L14="",M14="",K14&lt;=30,K14&gt;=20),((K14/25)^0.121)*K18,"")&amp;IF(AND(L14="",M14="",OR(K14&gt;30,K14&lt;20)),0,"")&amp;IF(AND(L14&gt;1,M14&gt;1),($R$24*LN(25))+$R$25,"")</f>
        <v>#VALUE!</v>
      </c>
      <c r="R27" s="89" t="e">
        <f>ROUND(Q27,0)</f>
        <v>#VALUE!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#VALUE!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32" t="s">
        <v>80</v>
      </c>
      <c r="D28" s="433"/>
      <c r="E28" s="90">
        <f>SUM(E13:E27)</f>
        <v>67.599999999999994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30" t="s">
        <v>82</v>
      </c>
      <c r="P28" s="431"/>
      <c r="Q28" s="32" t="e">
        <f>IF(AND(K22="",L22=""),0,AVERAGE(K25:L25))</f>
        <v>#VALUE!</v>
      </c>
      <c r="R28" s="89" t="e">
        <f>ROUND(Q28,0)</f>
        <v>#VALUE!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#VALUE!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>
        <f>IF(OR(I35=0,I33=0,I31=0),0,ROUND((I33^2/(I31*I35)),0))</f>
        <v>0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#VALUE!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37" t="s">
        <v>79</v>
      </c>
      <c r="D30" s="438"/>
      <c r="E30" s="438"/>
      <c r="F30" s="96" t="e">
        <f>IF(R27=0,"NL",ROUND(Q27,0))</f>
        <v>#VALUE!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39" t="s">
        <v>82</v>
      </c>
      <c r="D31" s="440"/>
      <c r="E31" s="440"/>
      <c r="F31" s="101" t="e">
        <f>IF(R28=0,"NP",ROUND(Q28,0))</f>
        <v>#VALUE!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#VALUE!</v>
      </c>
      <c r="H31" s="103"/>
      <c r="I31" s="104">
        <f>IF(T25="",0,ROUND(T25,2))</f>
        <v>0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25" t="s">
        <v>86</v>
      </c>
      <c r="D32" s="426"/>
      <c r="E32" s="426"/>
      <c r="F32" s="101" t="e">
        <f>ROUND(R27-R28,0)</f>
        <v>#VALUE!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27" t="s">
        <v>89</v>
      </c>
      <c r="D33" s="428"/>
      <c r="E33" s="428"/>
      <c r="F33" s="109" t="e">
        <f>ROUNDUP(((0.2*T19)+(0.005*T19*T21)+(0.01*T20*T22)),0)</f>
        <v>#VALUE!</v>
      </c>
      <c r="G33" s="110" t="e">
        <f>S27</f>
        <v>#VALUE!</v>
      </c>
      <c r="H33" s="107"/>
      <c r="I33" s="104">
        <f>IF(T24="",0,ROUND(T24,2))</f>
        <v>0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>
        <f>IF(T23="",0,ROUND(T23,2))</f>
        <v>0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5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421" t="s">
        <v>95</v>
      </c>
      <c r="J60" s="421"/>
      <c r="K60" s="421"/>
      <c r="L60" s="421"/>
      <c r="M60" s="421"/>
      <c r="N60" s="422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419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9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B60:H61"/>
    <mergeCell ref="I60:N61"/>
    <mergeCell ref="AA61:AB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14" priority="3" stopIfTrue="1" operator="equal">
      <formula>""""""</formula>
    </cfRule>
  </conditionalFormatting>
  <conditionalFormatting sqref="K18:M18 K23:K25 L25:M25">
    <cfRule type="cellIs" dxfId="13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12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70"/>
  <sheetViews>
    <sheetView topLeftCell="A11" workbookViewId="0">
      <selection activeCell="Q6" sqref="Q6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382"/>
      <c r="C2" s="383"/>
      <c r="D2" s="383"/>
      <c r="E2" s="384"/>
      <c r="F2" s="391" t="s">
        <v>1</v>
      </c>
      <c r="G2" s="392"/>
      <c r="H2" s="392"/>
      <c r="I2" s="392"/>
      <c r="J2" s="483"/>
      <c r="K2" s="159" t="s">
        <v>2</v>
      </c>
      <c r="L2" s="485">
        <v>43891</v>
      </c>
      <c r="M2" s="485"/>
      <c r="N2" s="485"/>
      <c r="O2" s="2"/>
      <c r="P2" s="2"/>
      <c r="Q2" s="2"/>
      <c r="R2" s="2"/>
      <c r="S2" s="2"/>
      <c r="T2" s="2"/>
      <c r="U2" s="2"/>
    </row>
    <row r="3" spans="1:58" ht="12" customHeight="1" x14ac:dyDescent="0.2">
      <c r="B3" s="385"/>
      <c r="C3" s="386"/>
      <c r="D3" s="386"/>
      <c r="E3" s="387"/>
      <c r="F3" s="393"/>
      <c r="G3" s="394"/>
      <c r="H3" s="394"/>
      <c r="I3" s="394"/>
      <c r="J3" s="484"/>
      <c r="K3" s="160" t="s">
        <v>3</v>
      </c>
      <c r="L3" s="486">
        <v>3</v>
      </c>
      <c r="M3" s="486"/>
      <c r="N3" s="486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388"/>
      <c r="C4" s="389"/>
      <c r="D4" s="389"/>
      <c r="E4" s="390"/>
      <c r="F4" s="405" t="s">
        <v>4</v>
      </c>
      <c r="G4" s="406"/>
      <c r="H4" s="406"/>
      <c r="I4" s="406"/>
      <c r="J4" s="407"/>
      <c r="K4" s="487" t="s">
        <v>5</v>
      </c>
      <c r="L4" s="487"/>
      <c r="M4" s="488">
        <v>2</v>
      </c>
      <c r="N4" s="489"/>
      <c r="O4" s="463" t="s">
        <v>6</v>
      </c>
      <c r="P4" s="464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378" t="s">
        <v>8</v>
      </c>
      <c r="C5" s="379"/>
      <c r="D5" s="380"/>
      <c r="E5" s="482" t="s">
        <v>115</v>
      </c>
      <c r="F5" s="482"/>
      <c r="G5" s="482"/>
      <c r="H5" s="482"/>
      <c r="I5" s="482"/>
      <c r="J5" s="482"/>
      <c r="K5" s="174"/>
      <c r="L5" s="174"/>
      <c r="M5" s="379"/>
      <c r="N5" s="462"/>
      <c r="O5" s="463" t="s">
        <v>9</v>
      </c>
      <c r="P5" s="464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379"/>
      <c r="G6" s="379"/>
      <c r="H6" s="379"/>
      <c r="I6" s="379"/>
      <c r="J6" s="379"/>
      <c r="K6" s="379"/>
      <c r="L6" s="379"/>
      <c r="M6" s="379"/>
      <c r="N6" s="462"/>
      <c r="O6" s="463" t="s">
        <v>11</v>
      </c>
      <c r="P6" s="464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5" t="s">
        <v>12</v>
      </c>
      <c r="C7" s="466"/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467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8"/>
      <c r="C8" s="469"/>
      <c r="D8" s="469"/>
      <c r="E8" s="469"/>
      <c r="F8" s="469"/>
      <c r="G8" s="469"/>
      <c r="H8" s="469"/>
      <c r="I8" s="469"/>
      <c r="J8" s="469"/>
      <c r="K8" s="469"/>
      <c r="L8" s="469"/>
      <c r="M8" s="469"/>
      <c r="N8" s="470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71" t="s">
        <v>21</v>
      </c>
      <c r="J10" s="472"/>
      <c r="K10" s="472"/>
      <c r="L10" s="472"/>
      <c r="M10" s="473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4" t="s">
        <v>24</v>
      </c>
      <c r="D11" s="475"/>
      <c r="E11" s="476" t="s">
        <v>25</v>
      </c>
      <c r="F11" s="478" t="s">
        <v>26</v>
      </c>
      <c r="G11" s="478" t="s">
        <v>27</v>
      </c>
      <c r="H11" s="29"/>
      <c r="I11" s="480" t="s">
        <v>28</v>
      </c>
      <c r="J11" s="449"/>
      <c r="K11" s="449">
        <v>1</v>
      </c>
      <c r="L11" s="449">
        <v>2</v>
      </c>
      <c r="M11" s="451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7"/>
      <c r="F12" s="479"/>
      <c r="G12" s="479"/>
      <c r="H12" s="42"/>
      <c r="I12" s="481"/>
      <c r="J12" s="450"/>
      <c r="K12" s="450"/>
      <c r="L12" s="450"/>
      <c r="M12" s="452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 t="e">
        <f>Q27-40</f>
        <v>#VALUE!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453" t="s">
        <v>35</v>
      </c>
      <c r="J13" s="454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#VALUE!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447" t="s">
        <v>39</v>
      </c>
      <c r="J14" s="448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 t="e">
        <f>Q27-30</f>
        <v>#VALUE!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441" t="s">
        <v>41</v>
      </c>
      <c r="J15" s="442"/>
      <c r="K15" s="163" t="s">
        <v>118</v>
      </c>
      <c r="L15" s="161">
        <v>51</v>
      </c>
      <c r="M15" s="164" t="s">
        <v>123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441" t="s">
        <v>45</v>
      </c>
      <c r="J16" s="442"/>
      <c r="K16" s="161" t="s">
        <v>119</v>
      </c>
      <c r="L16" s="161" t="s">
        <v>121</v>
      </c>
      <c r="M16" s="162" t="s">
        <v>124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441" t="s">
        <v>50</v>
      </c>
      <c r="J17" s="442"/>
      <c r="K17" s="161" t="s">
        <v>120</v>
      </c>
      <c r="L17" s="163" t="s">
        <v>122</v>
      </c>
      <c r="M17" s="164" t="s">
        <v>111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 t="e">
        <f>(R27-20)*0.73</f>
        <v>#VALUE!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443" t="s">
        <v>54</v>
      </c>
      <c r="J18" s="444"/>
      <c r="K18" s="165" t="e">
        <f>(K15-K16)*100/(K16-K17)</f>
        <v>#VALUE!</v>
      </c>
      <c r="L18" s="165" t="e">
        <f>(L15-L16)*100/(L16-L17)</f>
        <v>#VALUE!</v>
      </c>
      <c r="M18" s="166" t="e">
        <f>(M15-M16)*100/(M16-M17)</f>
        <v>#VALUE!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55" t="s">
        <v>56</v>
      </c>
      <c r="J19" s="456"/>
      <c r="K19" s="456"/>
      <c r="L19" s="456"/>
      <c r="M19" s="457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459" t="s">
        <v>28</v>
      </c>
      <c r="J20" s="460"/>
      <c r="K20" s="173">
        <v>1</v>
      </c>
      <c r="L20" s="167">
        <v>2</v>
      </c>
      <c r="M20" s="458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447" t="s">
        <v>35</v>
      </c>
      <c r="J21" s="448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#VALUE!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441" t="s">
        <v>41</v>
      </c>
      <c r="J22" s="442"/>
      <c r="K22" s="161">
        <v>0</v>
      </c>
      <c r="L22" s="163">
        <v>0</v>
      </c>
      <c r="M22" s="163" t="s">
        <v>116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#VALUE!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441" t="s">
        <v>45</v>
      </c>
      <c r="J23" s="442"/>
      <c r="K23" s="161">
        <v>0</v>
      </c>
      <c r="L23" s="163">
        <v>0</v>
      </c>
      <c r="M23" s="163" t="s">
        <v>117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441" t="s">
        <v>50</v>
      </c>
      <c r="J24" s="442"/>
      <c r="K24" s="163">
        <v>0</v>
      </c>
      <c r="L24" s="163">
        <v>0</v>
      </c>
      <c r="M24" s="169">
        <v>21</v>
      </c>
      <c r="N24" s="56"/>
      <c r="O24" s="22"/>
      <c r="P24" s="22"/>
      <c r="Q24" s="75" t="s">
        <v>70</v>
      </c>
      <c r="R24" s="76" t="e">
        <f>SLOPE(K18:M18,LN(K14:M14))</f>
        <v>#VALUE!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443" t="s">
        <v>54</v>
      </c>
      <c r="J25" s="444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445" t="s">
        <v>73</v>
      </c>
      <c r="P25" s="446"/>
      <c r="Q25" s="78"/>
      <c r="R25" s="79" t="e">
        <f>INTERCEPT(K18:M18,LN(K14:M14))</f>
        <v>#VALUE!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430" t="s">
        <v>79</v>
      </c>
      <c r="P27" s="431"/>
      <c r="Q27" s="73" t="e">
        <f>IF(AND(L14="",M14="",K14&lt;=30,K14&gt;=20),((K14/25)^0.121)*K18,"")&amp;IF(AND(L14="",M14="",OR(K14&gt;30,K14&lt;20)),0,"")&amp;IF(AND(L14&gt;1,M14&gt;1),($R$24*LN(25))+$R$25,"")</f>
        <v>#VALUE!</v>
      </c>
      <c r="R27" s="89" t="e">
        <f>ROUND(Q27,0)</f>
        <v>#VALUE!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32" t="s">
        <v>80</v>
      </c>
      <c r="D28" s="433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30" t="s">
        <v>82</v>
      </c>
      <c r="P28" s="431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37" t="s">
        <v>79</v>
      </c>
      <c r="D30" s="438"/>
      <c r="E30" s="438"/>
      <c r="F30" s="96" t="e">
        <f>IF(R27=0,"NL",ROUND(Q27,0))</f>
        <v>#VALUE!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39" t="s">
        <v>82</v>
      </c>
      <c r="D31" s="440"/>
      <c r="E31" s="440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25" t="s">
        <v>86</v>
      </c>
      <c r="D32" s="426"/>
      <c r="E32" s="426"/>
      <c r="F32" s="101" t="e">
        <f>ROUND(R27-R28,0)</f>
        <v>#VALUE!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27" t="s">
        <v>89</v>
      </c>
      <c r="D33" s="428"/>
      <c r="E33" s="428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5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421" t="s">
        <v>95</v>
      </c>
      <c r="J60" s="421"/>
      <c r="K60" s="421"/>
      <c r="L60" s="421"/>
      <c r="M60" s="421"/>
      <c r="N60" s="422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419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9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B60:H61"/>
    <mergeCell ref="I60:N61"/>
    <mergeCell ref="AA61:AB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11" priority="3" stopIfTrue="1" operator="equal">
      <formula>""""""</formula>
    </cfRule>
  </conditionalFormatting>
  <conditionalFormatting sqref="K18:M18 K23:K25 L25:M25">
    <cfRule type="cellIs" dxfId="10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9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70"/>
  <sheetViews>
    <sheetView topLeftCell="A25" workbookViewId="0">
      <selection activeCell="P10" sqref="P10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382"/>
      <c r="C2" s="383"/>
      <c r="D2" s="383"/>
      <c r="E2" s="384"/>
      <c r="F2" s="391" t="s">
        <v>1</v>
      </c>
      <c r="G2" s="392"/>
      <c r="H2" s="392"/>
      <c r="I2" s="392"/>
      <c r="J2" s="483"/>
      <c r="K2" s="159" t="s">
        <v>2</v>
      </c>
      <c r="L2" s="485">
        <v>43891</v>
      </c>
      <c r="M2" s="485"/>
      <c r="N2" s="485"/>
      <c r="O2" s="2"/>
      <c r="P2" s="2"/>
      <c r="Q2" s="2"/>
      <c r="R2" s="2"/>
      <c r="S2" s="2"/>
      <c r="T2" s="2"/>
      <c r="U2" s="2"/>
    </row>
    <row r="3" spans="1:58" ht="12" customHeight="1" x14ac:dyDescent="0.2">
      <c r="B3" s="385"/>
      <c r="C3" s="386"/>
      <c r="D3" s="386"/>
      <c r="E3" s="387"/>
      <c r="F3" s="393"/>
      <c r="G3" s="394"/>
      <c r="H3" s="394"/>
      <c r="I3" s="394"/>
      <c r="J3" s="484"/>
      <c r="K3" s="160" t="s">
        <v>3</v>
      </c>
      <c r="L3" s="486">
        <v>3</v>
      </c>
      <c r="M3" s="486"/>
      <c r="N3" s="486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388"/>
      <c r="C4" s="389"/>
      <c r="D4" s="389"/>
      <c r="E4" s="390"/>
      <c r="F4" s="405" t="s">
        <v>4</v>
      </c>
      <c r="G4" s="406"/>
      <c r="H4" s="406"/>
      <c r="I4" s="406"/>
      <c r="J4" s="407"/>
      <c r="K4" s="487" t="s">
        <v>5</v>
      </c>
      <c r="L4" s="487"/>
      <c r="M4" s="488">
        <v>2</v>
      </c>
      <c r="N4" s="489"/>
      <c r="O4" s="463" t="s">
        <v>6</v>
      </c>
      <c r="P4" s="464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378" t="s">
        <v>8</v>
      </c>
      <c r="C5" s="379"/>
      <c r="D5" s="380"/>
      <c r="E5" s="482" t="s">
        <v>125</v>
      </c>
      <c r="F5" s="482"/>
      <c r="G5" s="482"/>
      <c r="H5" s="482"/>
      <c r="I5" s="482"/>
      <c r="J5" s="482"/>
      <c r="K5" s="174"/>
      <c r="L5" s="174"/>
      <c r="M5" s="379"/>
      <c r="N5" s="462"/>
      <c r="O5" s="463" t="s">
        <v>9</v>
      </c>
      <c r="P5" s="464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379"/>
      <c r="G6" s="379"/>
      <c r="H6" s="379"/>
      <c r="I6" s="379"/>
      <c r="J6" s="379"/>
      <c r="K6" s="379"/>
      <c r="L6" s="379"/>
      <c r="M6" s="379"/>
      <c r="N6" s="462"/>
      <c r="O6" s="463" t="s">
        <v>11</v>
      </c>
      <c r="P6" s="464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5" t="s">
        <v>12</v>
      </c>
      <c r="C7" s="466"/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467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8"/>
      <c r="C8" s="469"/>
      <c r="D8" s="469"/>
      <c r="E8" s="469"/>
      <c r="F8" s="469"/>
      <c r="G8" s="469"/>
      <c r="H8" s="469"/>
      <c r="I8" s="469"/>
      <c r="J8" s="469"/>
      <c r="K8" s="469"/>
      <c r="L8" s="469"/>
      <c r="M8" s="469"/>
      <c r="N8" s="470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71" t="s">
        <v>21</v>
      </c>
      <c r="J10" s="472"/>
      <c r="K10" s="472"/>
      <c r="L10" s="472"/>
      <c r="M10" s="473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4" t="s">
        <v>24</v>
      </c>
      <c r="D11" s="475"/>
      <c r="E11" s="476" t="s">
        <v>25</v>
      </c>
      <c r="F11" s="478" t="s">
        <v>26</v>
      </c>
      <c r="G11" s="478" t="s">
        <v>27</v>
      </c>
      <c r="H11" s="29"/>
      <c r="I11" s="480" t="s">
        <v>28</v>
      </c>
      <c r="J11" s="449"/>
      <c r="K11" s="449">
        <v>1</v>
      </c>
      <c r="L11" s="449">
        <v>2</v>
      </c>
      <c r="M11" s="451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7"/>
      <c r="F12" s="479"/>
      <c r="G12" s="479"/>
      <c r="H12" s="42"/>
      <c r="I12" s="481"/>
      <c r="J12" s="450"/>
      <c r="K12" s="450"/>
      <c r="L12" s="450"/>
      <c r="M12" s="452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 t="e">
        <f>Q27-40</f>
        <v>#VALUE!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453" t="s">
        <v>35</v>
      </c>
      <c r="J13" s="454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#VALUE!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447" t="s">
        <v>39</v>
      </c>
      <c r="J14" s="448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 t="e">
        <f>Q27-30</f>
        <v>#VALUE!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441" t="s">
        <v>41</v>
      </c>
      <c r="J15" s="442"/>
      <c r="K15" s="163" t="s">
        <v>127</v>
      </c>
      <c r="L15" s="161" t="s">
        <v>128</v>
      </c>
      <c r="M15" s="164" t="s">
        <v>108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441" t="s">
        <v>45</v>
      </c>
      <c r="J16" s="442"/>
      <c r="K16" s="161">
        <v>18</v>
      </c>
      <c r="L16" s="161" t="s">
        <v>137</v>
      </c>
      <c r="M16" s="162">
        <v>16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441" t="s">
        <v>50</v>
      </c>
      <c r="J17" s="442"/>
      <c r="K17" s="161" t="s">
        <v>120</v>
      </c>
      <c r="L17" s="163" t="s">
        <v>129</v>
      </c>
      <c r="M17" s="164" t="s">
        <v>129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 t="e">
        <f>(R27-20)*0.73</f>
        <v>#VALUE!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443" t="s">
        <v>54</v>
      </c>
      <c r="J18" s="444"/>
      <c r="K18" s="165" t="e">
        <f>(K15-K16)*100/(K16-K17)</f>
        <v>#VALUE!</v>
      </c>
      <c r="L18" s="165" t="e">
        <f>(L15-L16)*100/(L16-L17)</f>
        <v>#VALUE!</v>
      </c>
      <c r="M18" s="166" t="e">
        <f>(M15-M16)*100/(M16-M17)</f>
        <v>#VALUE!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55" t="s">
        <v>56</v>
      </c>
      <c r="J19" s="456"/>
      <c r="K19" s="456"/>
      <c r="L19" s="456"/>
      <c r="M19" s="457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459" t="s">
        <v>28</v>
      </c>
      <c r="J20" s="460"/>
      <c r="K20" s="173">
        <v>1</v>
      </c>
      <c r="L20" s="167">
        <v>2</v>
      </c>
      <c r="M20" s="458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447" t="s">
        <v>35</v>
      </c>
      <c r="J21" s="448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#VALUE!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441" t="s">
        <v>41</v>
      </c>
      <c r="J22" s="442"/>
      <c r="K22" s="161">
        <v>0</v>
      </c>
      <c r="L22" s="163">
        <v>0</v>
      </c>
      <c r="M22" s="163" t="s">
        <v>126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#VALUE!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441" t="s">
        <v>45</v>
      </c>
      <c r="J23" s="442"/>
      <c r="K23" s="161">
        <v>0</v>
      </c>
      <c r="L23" s="163">
        <v>0</v>
      </c>
      <c r="M23" s="163" t="s">
        <v>114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441" t="s">
        <v>50</v>
      </c>
      <c r="J24" s="442"/>
      <c r="K24" s="163">
        <v>0</v>
      </c>
      <c r="L24" s="163">
        <v>0</v>
      </c>
      <c r="M24" s="169" t="s">
        <v>103</v>
      </c>
      <c r="N24" s="56"/>
      <c r="O24" s="22"/>
      <c r="P24" s="22"/>
      <c r="Q24" s="75" t="s">
        <v>70</v>
      </c>
      <c r="R24" s="76" t="e">
        <f>SLOPE(K18:M18,LN(K14:M14))</f>
        <v>#VALUE!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443" t="s">
        <v>54</v>
      </c>
      <c r="J25" s="444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445" t="s">
        <v>73</v>
      </c>
      <c r="P25" s="446"/>
      <c r="Q25" s="78"/>
      <c r="R25" s="79" t="e">
        <f>INTERCEPT(K18:M18,LN(K14:M14))</f>
        <v>#VALUE!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430" t="s">
        <v>79</v>
      </c>
      <c r="P27" s="431"/>
      <c r="Q27" s="73" t="e">
        <f>IF(AND(L14="",M14="",K14&lt;=30,K14&gt;=20),((K14/25)^0.121)*K18,"")&amp;IF(AND(L14="",M14="",OR(K14&gt;30,K14&lt;20)),0,"")&amp;IF(AND(L14&gt;1,M14&gt;1),($R$24*LN(25))+$R$25,"")</f>
        <v>#VALUE!</v>
      </c>
      <c r="R27" s="89" t="e">
        <f>ROUND(Q27,0)</f>
        <v>#VALUE!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32" t="s">
        <v>80</v>
      </c>
      <c r="D28" s="433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30" t="s">
        <v>82</v>
      </c>
      <c r="P28" s="431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37" t="s">
        <v>79</v>
      </c>
      <c r="D30" s="438"/>
      <c r="E30" s="438"/>
      <c r="F30" s="96" t="e">
        <f>IF(R27=0,"NL",ROUND(Q27,0))</f>
        <v>#VALUE!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39" t="s">
        <v>82</v>
      </c>
      <c r="D31" s="440"/>
      <c r="E31" s="440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25" t="s">
        <v>86</v>
      </c>
      <c r="D32" s="426"/>
      <c r="E32" s="426"/>
      <c r="F32" s="101" t="e">
        <f>ROUND(R27-R28,0)</f>
        <v>#VALUE!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27" t="s">
        <v>89</v>
      </c>
      <c r="D33" s="428"/>
      <c r="E33" s="428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5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421" t="s">
        <v>95</v>
      </c>
      <c r="J60" s="421"/>
      <c r="K60" s="421"/>
      <c r="L60" s="421"/>
      <c r="M60" s="421"/>
      <c r="N60" s="422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419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9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B60:H61"/>
    <mergeCell ref="I60:N61"/>
    <mergeCell ref="AA61:AB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8" priority="3" stopIfTrue="1" operator="equal">
      <formula>""""""</formula>
    </cfRule>
  </conditionalFormatting>
  <conditionalFormatting sqref="K18:M18 K23:K25 L25:M25">
    <cfRule type="cellIs" dxfId="7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6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70"/>
  <sheetViews>
    <sheetView topLeftCell="A25" workbookViewId="0">
      <selection activeCell="M18" sqref="M18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382"/>
      <c r="C2" s="383"/>
      <c r="D2" s="383"/>
      <c r="E2" s="384"/>
      <c r="F2" s="391" t="s">
        <v>1</v>
      </c>
      <c r="G2" s="392"/>
      <c r="H2" s="392"/>
      <c r="I2" s="392"/>
      <c r="J2" s="483"/>
      <c r="K2" s="159" t="s">
        <v>2</v>
      </c>
      <c r="L2" s="485">
        <v>43891</v>
      </c>
      <c r="M2" s="485"/>
      <c r="N2" s="485"/>
      <c r="O2" s="2"/>
      <c r="P2" s="2"/>
      <c r="Q2" s="2"/>
      <c r="R2" s="2"/>
      <c r="S2" s="2"/>
      <c r="T2" s="2"/>
      <c r="U2" s="2"/>
    </row>
    <row r="3" spans="1:58" ht="12" customHeight="1" x14ac:dyDescent="0.2">
      <c r="B3" s="385"/>
      <c r="C3" s="386"/>
      <c r="D3" s="386"/>
      <c r="E3" s="387"/>
      <c r="F3" s="393"/>
      <c r="G3" s="394"/>
      <c r="H3" s="394"/>
      <c r="I3" s="394"/>
      <c r="J3" s="484"/>
      <c r="K3" s="160" t="s">
        <v>3</v>
      </c>
      <c r="L3" s="486">
        <v>3</v>
      </c>
      <c r="M3" s="486"/>
      <c r="N3" s="486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388"/>
      <c r="C4" s="389"/>
      <c r="D4" s="389"/>
      <c r="E4" s="390"/>
      <c r="F4" s="405" t="s">
        <v>4</v>
      </c>
      <c r="G4" s="406"/>
      <c r="H4" s="406"/>
      <c r="I4" s="406"/>
      <c r="J4" s="407"/>
      <c r="K4" s="487" t="s">
        <v>5</v>
      </c>
      <c r="L4" s="487"/>
      <c r="M4" s="488">
        <v>2</v>
      </c>
      <c r="N4" s="489"/>
      <c r="O4" s="463" t="s">
        <v>6</v>
      </c>
      <c r="P4" s="464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378" t="s">
        <v>8</v>
      </c>
      <c r="C5" s="379"/>
      <c r="D5" s="380"/>
      <c r="E5" s="482" t="s">
        <v>133</v>
      </c>
      <c r="F5" s="482"/>
      <c r="G5" s="482"/>
      <c r="H5" s="482"/>
      <c r="I5" s="482"/>
      <c r="J5" s="482"/>
      <c r="K5" s="174"/>
      <c r="L5" s="174"/>
      <c r="M5" s="379"/>
      <c r="N5" s="462"/>
      <c r="O5" s="463" t="s">
        <v>9</v>
      </c>
      <c r="P5" s="464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379"/>
      <c r="G6" s="379"/>
      <c r="H6" s="379"/>
      <c r="I6" s="379"/>
      <c r="J6" s="379"/>
      <c r="K6" s="379"/>
      <c r="L6" s="379"/>
      <c r="M6" s="379"/>
      <c r="N6" s="462"/>
      <c r="O6" s="463" t="s">
        <v>11</v>
      </c>
      <c r="P6" s="464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5" t="s">
        <v>12</v>
      </c>
      <c r="C7" s="466"/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467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8"/>
      <c r="C8" s="469"/>
      <c r="D8" s="469"/>
      <c r="E8" s="469"/>
      <c r="F8" s="469"/>
      <c r="G8" s="469"/>
      <c r="H8" s="469"/>
      <c r="I8" s="469"/>
      <c r="J8" s="469"/>
      <c r="K8" s="469"/>
      <c r="L8" s="469"/>
      <c r="M8" s="469"/>
      <c r="N8" s="470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71" t="s">
        <v>21</v>
      </c>
      <c r="J10" s="472"/>
      <c r="K10" s="472"/>
      <c r="L10" s="472"/>
      <c r="M10" s="473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4" t="s">
        <v>24</v>
      </c>
      <c r="D11" s="475"/>
      <c r="E11" s="476" t="s">
        <v>25</v>
      </c>
      <c r="F11" s="478" t="s">
        <v>26</v>
      </c>
      <c r="G11" s="478" t="s">
        <v>27</v>
      </c>
      <c r="H11" s="29"/>
      <c r="I11" s="480" t="s">
        <v>28</v>
      </c>
      <c r="J11" s="449"/>
      <c r="K11" s="449">
        <v>1</v>
      </c>
      <c r="L11" s="449">
        <v>2</v>
      </c>
      <c r="M11" s="451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7"/>
      <c r="F12" s="479"/>
      <c r="G12" s="479"/>
      <c r="H12" s="42"/>
      <c r="I12" s="481"/>
      <c r="J12" s="450"/>
      <c r="K12" s="450"/>
      <c r="L12" s="450"/>
      <c r="M12" s="452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 t="e">
        <f>Q27-40</f>
        <v>#DIV/0!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453" t="s">
        <v>35</v>
      </c>
      <c r="J13" s="454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#DIV/0!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447" t="s">
        <v>39</v>
      </c>
      <c r="J14" s="448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 t="e">
        <f>Q27-30</f>
        <v>#DIV/0!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441" t="s">
        <v>41</v>
      </c>
      <c r="J15" s="442"/>
      <c r="K15" s="163">
        <v>0</v>
      </c>
      <c r="L15" s="161">
        <v>0</v>
      </c>
      <c r="M15" s="164">
        <v>0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441" t="s">
        <v>45</v>
      </c>
      <c r="J16" s="442"/>
      <c r="K16" s="161">
        <v>0</v>
      </c>
      <c r="L16" s="161">
        <v>0</v>
      </c>
      <c r="M16" s="162">
        <v>0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441" t="s">
        <v>50</v>
      </c>
      <c r="J17" s="442"/>
      <c r="K17" s="161">
        <v>0</v>
      </c>
      <c r="L17" s="163">
        <v>0</v>
      </c>
      <c r="M17" s="164">
        <v>0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 t="e">
        <f>(R27-20)*0.73</f>
        <v>#DIV/0!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443" t="s">
        <v>54</v>
      </c>
      <c r="J18" s="444"/>
      <c r="K18" s="165" t="e">
        <f>(K15-K16)*100/(K16-K17)</f>
        <v>#DIV/0!</v>
      </c>
      <c r="L18" s="165" t="e">
        <f>(L15-L16)*100/(L16-L17)</f>
        <v>#DIV/0!</v>
      </c>
      <c r="M18" s="166" t="e">
        <f>(M15-M16)*100/(M16-M17)</f>
        <v>#DIV/0!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55" t="s">
        <v>56</v>
      </c>
      <c r="J19" s="456"/>
      <c r="K19" s="456"/>
      <c r="L19" s="456"/>
      <c r="M19" s="457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459" t="s">
        <v>28</v>
      </c>
      <c r="J20" s="460"/>
      <c r="K20" s="173">
        <v>1</v>
      </c>
      <c r="L20" s="167">
        <v>2</v>
      </c>
      <c r="M20" s="458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447" t="s">
        <v>35</v>
      </c>
      <c r="J21" s="448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#DIV/0!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441" t="s">
        <v>41</v>
      </c>
      <c r="J22" s="442"/>
      <c r="K22" s="161">
        <v>0</v>
      </c>
      <c r="L22" s="163">
        <v>0</v>
      </c>
      <c r="M22" s="163" t="s">
        <v>134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#DIV/0!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441" t="s">
        <v>45</v>
      </c>
      <c r="J23" s="442"/>
      <c r="K23" s="161">
        <v>0</v>
      </c>
      <c r="L23" s="163">
        <v>0</v>
      </c>
      <c r="M23" s="163" t="s">
        <v>135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441" t="s">
        <v>50</v>
      </c>
      <c r="J24" s="442"/>
      <c r="K24" s="163">
        <v>0</v>
      </c>
      <c r="L24" s="163">
        <v>0</v>
      </c>
      <c r="M24" s="169" t="s">
        <v>136</v>
      </c>
      <c r="N24" s="56"/>
      <c r="O24" s="22"/>
      <c r="P24" s="22"/>
      <c r="Q24" s="75" t="s">
        <v>70</v>
      </c>
      <c r="R24" s="76" t="e">
        <f>SLOPE(K18:M18,LN(K14:M14))</f>
        <v>#DIV/0!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443" t="s">
        <v>54</v>
      </c>
      <c r="J25" s="444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445" t="s">
        <v>73</v>
      </c>
      <c r="P25" s="446"/>
      <c r="Q25" s="78"/>
      <c r="R25" s="79" t="e">
        <f>INTERCEPT(K18:M18,LN(K14:M14))</f>
        <v>#DIV/0!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430" t="s">
        <v>79</v>
      </c>
      <c r="P27" s="431"/>
      <c r="Q27" s="73" t="e">
        <f>IF(AND(L14="",M14="",K14&lt;=30,K14&gt;=20),((K14/25)^0.121)*K18,"")&amp;IF(AND(L14="",M14="",OR(K14&gt;30,K14&lt;20)),0,"")&amp;IF(AND(L14&gt;1,M14&gt;1),($R$24*LN(25))+$R$25,"")</f>
        <v>#DIV/0!</v>
      </c>
      <c r="R27" s="89" t="e">
        <f>ROUND(Q27,0)</f>
        <v>#DIV/0!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32" t="s">
        <v>80</v>
      </c>
      <c r="D28" s="433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30" t="s">
        <v>82</v>
      </c>
      <c r="P28" s="431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37" t="s">
        <v>79</v>
      </c>
      <c r="D30" s="438"/>
      <c r="E30" s="438"/>
      <c r="F30" s="96" t="e">
        <f>IF(R27=0,"NL",ROUND(Q27,0))</f>
        <v>#DIV/0!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39" t="s">
        <v>82</v>
      </c>
      <c r="D31" s="440"/>
      <c r="E31" s="440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25" t="s">
        <v>86</v>
      </c>
      <c r="D32" s="426"/>
      <c r="E32" s="426"/>
      <c r="F32" s="101" t="e">
        <f>ROUND(R27-R28,0)</f>
        <v>#DIV/0!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27" t="s">
        <v>89</v>
      </c>
      <c r="D33" s="428"/>
      <c r="E33" s="428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4.45" customHeight="1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421" t="s">
        <v>95</v>
      </c>
      <c r="J60" s="421"/>
      <c r="K60" s="421"/>
      <c r="L60" s="421"/>
      <c r="M60" s="421"/>
      <c r="N60" s="422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419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9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B60:H61"/>
    <mergeCell ref="I60:N61"/>
    <mergeCell ref="AA61:AB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5" priority="3" stopIfTrue="1" operator="equal">
      <formula>""""""</formula>
    </cfRule>
  </conditionalFormatting>
  <conditionalFormatting sqref="K18:M18 K23:K25 L25:M25">
    <cfRule type="cellIs" dxfId="4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3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0"/>
  <sheetViews>
    <sheetView topLeftCell="A43" workbookViewId="0">
      <selection activeCell="R30" sqref="O29:R30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382"/>
      <c r="C2" s="383"/>
      <c r="D2" s="383"/>
      <c r="E2" s="384"/>
      <c r="F2" s="391" t="s">
        <v>1</v>
      </c>
      <c r="G2" s="392"/>
      <c r="H2" s="392"/>
      <c r="I2" s="392"/>
      <c r="J2" s="483"/>
      <c r="K2" s="159" t="s">
        <v>2</v>
      </c>
      <c r="L2" s="491">
        <v>43891</v>
      </c>
      <c r="M2" s="492"/>
      <c r="N2" s="493"/>
      <c r="O2" s="2"/>
      <c r="P2" s="2"/>
      <c r="Q2" s="2"/>
      <c r="R2" s="2"/>
      <c r="S2" s="2"/>
      <c r="T2" s="2"/>
      <c r="U2" s="2"/>
    </row>
    <row r="3" spans="1:58" ht="12" customHeight="1" x14ac:dyDescent="0.2">
      <c r="B3" s="385"/>
      <c r="C3" s="386"/>
      <c r="D3" s="386"/>
      <c r="E3" s="387"/>
      <c r="F3" s="393"/>
      <c r="G3" s="394"/>
      <c r="H3" s="394"/>
      <c r="I3" s="394"/>
      <c r="J3" s="484"/>
      <c r="K3" s="160" t="s">
        <v>3</v>
      </c>
      <c r="L3" s="494">
        <v>3</v>
      </c>
      <c r="M3" s="495"/>
      <c r="N3" s="496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388"/>
      <c r="C4" s="389"/>
      <c r="D4" s="389"/>
      <c r="E4" s="390"/>
      <c r="F4" s="405" t="s">
        <v>4</v>
      </c>
      <c r="G4" s="406"/>
      <c r="H4" s="406"/>
      <c r="I4" s="406"/>
      <c r="J4" s="407"/>
      <c r="K4" s="497" t="s">
        <v>5</v>
      </c>
      <c r="L4" s="498"/>
      <c r="M4" s="488">
        <v>2</v>
      </c>
      <c r="N4" s="489"/>
      <c r="O4" s="490" t="s">
        <v>6</v>
      </c>
      <c r="P4" s="464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378" t="s">
        <v>8</v>
      </c>
      <c r="C5" s="379"/>
      <c r="D5" s="380"/>
      <c r="E5" s="461" t="s">
        <v>130</v>
      </c>
      <c r="F5" s="379"/>
      <c r="G5" s="379"/>
      <c r="H5" s="379"/>
      <c r="I5" s="379"/>
      <c r="J5" s="380"/>
      <c r="K5" s="175"/>
      <c r="L5" s="175"/>
      <c r="M5" s="379"/>
      <c r="N5" s="462"/>
      <c r="O5" s="490" t="s">
        <v>9</v>
      </c>
      <c r="P5" s="464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379"/>
      <c r="G6" s="379"/>
      <c r="H6" s="379"/>
      <c r="I6" s="379"/>
      <c r="J6" s="379"/>
      <c r="K6" s="379"/>
      <c r="L6" s="379"/>
      <c r="M6" s="379"/>
      <c r="N6" s="462"/>
      <c r="O6" s="490" t="s">
        <v>11</v>
      </c>
      <c r="P6" s="464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5" t="s">
        <v>12</v>
      </c>
      <c r="C7" s="466"/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467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8"/>
      <c r="C8" s="469"/>
      <c r="D8" s="469"/>
      <c r="E8" s="469"/>
      <c r="F8" s="469"/>
      <c r="G8" s="469"/>
      <c r="H8" s="469"/>
      <c r="I8" s="469"/>
      <c r="J8" s="469"/>
      <c r="K8" s="469"/>
      <c r="L8" s="469"/>
      <c r="M8" s="469"/>
      <c r="N8" s="470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99" t="s">
        <v>21</v>
      </c>
      <c r="J10" s="500"/>
      <c r="K10" s="500"/>
      <c r="L10" s="500"/>
      <c r="M10" s="501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4" t="s">
        <v>24</v>
      </c>
      <c r="D11" s="475"/>
      <c r="E11" s="476" t="s">
        <v>25</v>
      </c>
      <c r="F11" s="478" t="s">
        <v>26</v>
      </c>
      <c r="G11" s="478" t="s">
        <v>27</v>
      </c>
      <c r="H11" s="29"/>
      <c r="I11" s="502" t="s">
        <v>28</v>
      </c>
      <c r="J11" s="503"/>
      <c r="K11" s="506">
        <v>1</v>
      </c>
      <c r="L11" s="506">
        <v>2</v>
      </c>
      <c r="M11" s="510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7"/>
      <c r="F12" s="479"/>
      <c r="G12" s="479"/>
      <c r="H12" s="42"/>
      <c r="I12" s="504"/>
      <c r="J12" s="505"/>
      <c r="K12" s="507"/>
      <c r="L12" s="507"/>
      <c r="M12" s="511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>
        <f>Q27-40</f>
        <v>12.194696090939701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512" t="s">
        <v>35</v>
      </c>
      <c r="J13" s="513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#DIV/0!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508" t="s">
        <v>39</v>
      </c>
      <c r="J14" s="509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>
        <f>Q27-30</f>
        <v>22.194696090939701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514" t="s">
        <v>41</v>
      </c>
      <c r="J15" s="515"/>
      <c r="K15" s="163">
        <v>57.5</v>
      </c>
      <c r="L15" s="161">
        <v>30.2</v>
      </c>
      <c r="M15" s="164">
        <v>54.1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514" t="s">
        <v>45</v>
      </c>
      <c r="J16" s="515"/>
      <c r="K16" s="161">
        <v>44.8</v>
      </c>
      <c r="L16" s="161">
        <v>23.3</v>
      </c>
      <c r="M16" s="162">
        <v>43.5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514" t="s">
        <v>50</v>
      </c>
      <c r="J17" s="515"/>
      <c r="K17" s="161">
        <v>21</v>
      </c>
      <c r="L17" s="163">
        <v>10.1</v>
      </c>
      <c r="M17" s="164">
        <v>22.8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>
        <f>(R27-20)*0.73</f>
        <v>23.36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516" t="s">
        <v>54</v>
      </c>
      <c r="J18" s="517"/>
      <c r="K18" s="165">
        <f>(K15-K16)*100/(K16-K17)</f>
        <v>53.361344537815143</v>
      </c>
      <c r="L18" s="165">
        <f>(L15-L16)*100/(L16-L17)</f>
        <v>52.272727272727259</v>
      </c>
      <c r="M18" s="166">
        <f>(M15-M16)*100/(M16-M17)</f>
        <v>51.207729468599048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55" t="s">
        <v>56</v>
      </c>
      <c r="J19" s="456"/>
      <c r="K19" s="456"/>
      <c r="L19" s="518"/>
      <c r="M19" s="457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519" t="s">
        <v>28</v>
      </c>
      <c r="J20" s="520"/>
      <c r="K20" s="176">
        <v>1</v>
      </c>
      <c r="L20" s="167">
        <v>2</v>
      </c>
      <c r="M20" s="458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508" t="s">
        <v>35</v>
      </c>
      <c r="J21" s="509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>
        <f>IF(AND(T12&gt;=1,T12&lt;=20),ROUND(T12,1),0)</f>
        <v>12.2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514" t="s">
        <v>41</v>
      </c>
      <c r="J22" s="515"/>
      <c r="K22" s="161">
        <v>0</v>
      </c>
      <c r="L22" s="163">
        <v>0</v>
      </c>
      <c r="M22" s="163" t="s">
        <v>131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#DIV/0!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514" t="s">
        <v>45</v>
      </c>
      <c r="J23" s="515"/>
      <c r="K23" s="161">
        <v>0</v>
      </c>
      <c r="L23" s="163">
        <v>0</v>
      </c>
      <c r="M23" s="163" t="s">
        <v>132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514" t="s">
        <v>50</v>
      </c>
      <c r="J24" s="515"/>
      <c r="K24" s="163">
        <v>0</v>
      </c>
      <c r="L24" s="163">
        <v>0</v>
      </c>
      <c r="M24" s="169" t="s">
        <v>108</v>
      </c>
      <c r="N24" s="56"/>
      <c r="O24" s="22"/>
      <c r="P24" s="22"/>
      <c r="Q24" s="75" t="s">
        <v>70</v>
      </c>
      <c r="R24" s="76">
        <f>SLOPE(K18:M18,LN(K14:M14))</f>
        <v>-2.4093930121856619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516" t="s">
        <v>54</v>
      </c>
      <c r="J25" s="517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521" t="s">
        <v>73</v>
      </c>
      <c r="P25" s="446"/>
      <c r="Q25" s="78"/>
      <c r="R25" s="79">
        <f>INTERCEPT(K18:M18,LN(K14:M14))</f>
        <v>59.950233010470491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522" t="s">
        <v>79</v>
      </c>
      <c r="P27" s="431"/>
      <c r="Q27" s="73" t="str">
        <f>IF(AND(L14="",M14="",K14&lt;=30,K14&gt;=20),((K14/25)^0.121)*K18,"")&amp;IF(AND(L14="",M14="",OR(K14&gt;30,K14&lt;20)),0,"")&amp;IF(AND(L14&gt;1,M14&gt;1),($R$24*LN(25))+$R$25,"")</f>
        <v>52,1946960909397</v>
      </c>
      <c r="R27" s="89">
        <f>ROUND(Q27,0)</f>
        <v>52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523" t="s">
        <v>80</v>
      </c>
      <c r="D28" s="524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522" t="s">
        <v>82</v>
      </c>
      <c r="P28" s="431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525" t="s">
        <v>79</v>
      </c>
      <c r="D30" s="526"/>
      <c r="E30" s="527"/>
      <c r="F30" s="96">
        <f>IF(R27=0,"NL",ROUND(Q27,0))</f>
        <v>52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528" t="s">
        <v>82</v>
      </c>
      <c r="D31" s="529"/>
      <c r="E31" s="530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531" t="s">
        <v>86</v>
      </c>
      <c r="D32" s="532"/>
      <c r="E32" s="533"/>
      <c r="F32" s="101" t="e">
        <f>ROUND(R27-R28,0)</f>
        <v>#DIV/0!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534" t="s">
        <v>89</v>
      </c>
      <c r="D33" s="535"/>
      <c r="E33" s="536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9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9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9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7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8"/>
      <c r="AH39" s="178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8"/>
      <c r="AH40" s="178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8"/>
      <c r="AH41" s="178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8"/>
      <c r="AH42" s="178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8"/>
      <c r="AH43" s="178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8"/>
      <c r="AH44" s="178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8"/>
      <c r="AH45" s="178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8"/>
      <c r="AH46" s="178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8"/>
      <c r="AH47" s="178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8"/>
      <c r="AH48" s="178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4.45" customHeight="1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537" t="s">
        <v>95</v>
      </c>
      <c r="J60" s="416"/>
      <c r="K60" s="416"/>
      <c r="L60" s="416"/>
      <c r="M60" s="416"/>
      <c r="N60" s="538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539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8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B59:H59"/>
    <mergeCell ref="I59:N59"/>
    <mergeCell ref="B60:H61"/>
    <mergeCell ref="I60:N61"/>
    <mergeCell ref="AA61:AB61"/>
    <mergeCell ref="AE38:AF38"/>
    <mergeCell ref="AG38:AH38"/>
    <mergeCell ref="AI38:AJ38"/>
    <mergeCell ref="AC39:AD39"/>
    <mergeCell ref="Z50:AA50"/>
    <mergeCell ref="V40:W40"/>
    <mergeCell ref="AA40:AB40"/>
    <mergeCell ref="X31:Y31"/>
    <mergeCell ref="C32:E32"/>
    <mergeCell ref="X32:Y32"/>
    <mergeCell ref="C33:E33"/>
    <mergeCell ref="X37:Y37"/>
    <mergeCell ref="AK36:AL36"/>
    <mergeCell ref="AM36:AN36"/>
    <mergeCell ref="O27:P27"/>
    <mergeCell ref="C28:D28"/>
    <mergeCell ref="O28:P28"/>
    <mergeCell ref="C29:G29"/>
    <mergeCell ref="C30:E30"/>
    <mergeCell ref="C31:E31"/>
    <mergeCell ref="I22:J22"/>
    <mergeCell ref="I23:J23"/>
    <mergeCell ref="I24:J24"/>
    <mergeCell ref="AE24:AF24"/>
    <mergeCell ref="I25:J25"/>
    <mergeCell ref="O25:P25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2" priority="3" stopIfTrue="1" operator="equal">
      <formula>""""""</formula>
    </cfRule>
  </conditionalFormatting>
  <conditionalFormatting sqref="K18:M18 K23:K25 L25:M25">
    <cfRule type="cellIs" dxfId="1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0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Clasificacion</vt:lpstr>
      <vt:lpstr>LA TAPA</vt:lpstr>
      <vt:lpstr>CLAVELLINO</vt:lpstr>
      <vt:lpstr>COCOARENAL</vt:lpstr>
      <vt:lpstr>Hoja13</vt:lpstr>
      <vt:lpstr>Hoja1</vt:lpstr>
      <vt:lpstr>Clasificacion!Área_de_impresión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Paola Andrea Garcia Tangarife</cp:lastModifiedBy>
  <cp:lastPrinted>2025-11-06T14:38:33Z</cp:lastPrinted>
  <dcterms:created xsi:type="dcterms:W3CDTF">2015-12-14T20:24:53Z</dcterms:created>
  <dcterms:modified xsi:type="dcterms:W3CDTF">2026-05-22T15:59:10Z</dcterms:modified>
</cp:coreProperties>
</file>