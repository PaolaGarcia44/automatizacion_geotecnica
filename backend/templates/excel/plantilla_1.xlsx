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600" firstSheet="0" activeTab="0" autoFilterDateGrouping="1"/>
  </bookViews>
  <sheets>
    <sheet xmlns:r="http://schemas.openxmlformats.org/officeDocument/2006/relationships" name="P3" sheetId="1" state="visible" r:id="rId1"/>
  </sheets>
  <definedNames>
    <definedName name="_xlnm.Print_Area" localSheetId="0">'P3'!$A$2:$Q$25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14">
    <font>
      <name val="Calibri"/>
      <family val="2"/>
      <color theme="1"/>
      <sz val="11"/>
      <scheme val="minor"/>
    </font>
    <font>
      <name val="Calibri"/>
      <family val="2"/>
      <color indexed="8"/>
      <sz val="11"/>
    </font>
    <font>
      <name val="Calibri"/>
      <family val="2"/>
      <color indexed="8"/>
      <sz val="8"/>
    </font>
    <font>
      <name val="Arial"/>
      <family val="2"/>
      <color indexed="8"/>
      <sz val="8"/>
    </font>
    <font>
      <name val="Calibri"/>
      <family val="2"/>
      <color indexed="8"/>
      <sz val="10"/>
    </font>
    <font>
      <name val="Symbol"/>
      <charset val="2"/>
      <family val="1"/>
      <color indexed="8"/>
      <sz val="10"/>
    </font>
    <font>
      <name val="Symbol"/>
      <charset val="2"/>
      <family val="1"/>
      <color indexed="8"/>
      <sz val="8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8"/>
      <scheme val="minor"/>
    </font>
    <font>
      <name val="Arial"/>
      <family val="2"/>
      <color theme="1"/>
      <sz val="8"/>
    </font>
    <font>
      <name val="Calibri"/>
      <family val="2"/>
      <color theme="1"/>
      <sz val="8"/>
    </font>
    <font>
      <name val="Symbol"/>
      <charset val="2"/>
      <family val="1"/>
      <color theme="1"/>
      <sz val="8"/>
    </font>
    <font>
      <name val="Calibri"/>
      <family val="2"/>
      <sz val="7"/>
    </font>
    <font>
      <name val="Calibri"/>
      <family val="2"/>
      <color theme="1"/>
      <sz val="11"/>
      <u val="single"/>
      <scheme val="minor"/>
    </font>
  </fonts>
  <fills count="8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3999755851924192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7">
    <xf numFmtId="0" fontId="0" fillId="0" borderId="0" pivotButton="0" quotePrefix="0" xfId="0"/>
    <xf numFmtId="0" fontId="8" fillId="0" borderId="1" applyAlignment="1" pivotButton="0" quotePrefix="0" xfId="0">
      <alignment horizontal="center"/>
    </xf>
    <xf numFmtId="1" fontId="8" fillId="0" borderId="1" applyAlignment="1" pivotButton="0" quotePrefix="0" xfId="0">
      <alignment horizontal="center"/>
    </xf>
    <xf numFmtId="2" fontId="8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8" fillId="2" borderId="1" applyAlignment="1" pivotButton="0" quotePrefix="0" xfId="0">
      <alignment horizontal="center"/>
    </xf>
    <xf numFmtId="0" fontId="10" fillId="2" borderId="1" applyAlignment="1" pivotButton="0" quotePrefix="0" xfId="0">
      <alignment horizontal="center"/>
    </xf>
    <xf numFmtId="0" fontId="11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164" fontId="8" fillId="0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0" fontId="9" fillId="2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2" fontId="8" fillId="4" borderId="3" applyAlignment="1" pivotButton="0" quotePrefix="0" xfId="0">
      <alignment horizontal="center" vertical="center"/>
    </xf>
    <xf numFmtId="0" fontId="8" fillId="0" borderId="8" applyAlignment="1" pivotButton="0" quotePrefix="0" xfId="0">
      <alignment horizontal="center"/>
    </xf>
    <xf numFmtId="2" fontId="8" fillId="0" borderId="8" applyAlignment="1" pivotButton="0" quotePrefix="0" xfId="0">
      <alignment horizontal="center"/>
    </xf>
    <xf numFmtId="1" fontId="8" fillId="0" borderId="8" applyAlignment="1" pivotButton="0" quotePrefix="0" xfId="0">
      <alignment horizontal="center"/>
    </xf>
    <xf numFmtId="164" fontId="8" fillId="0" borderId="8" applyAlignment="1" pivotButton="0" quotePrefix="0" xfId="0">
      <alignment horizontal="center"/>
    </xf>
    <xf numFmtId="2" fontId="8" fillId="4" borderId="11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/>
    </xf>
    <xf numFmtId="0" fontId="0" fillId="0" borderId="15" pivotButton="0" quotePrefix="0" xfId="0"/>
    <xf numFmtId="0" fontId="8" fillId="0" borderId="9" applyAlignment="1" pivotButton="0" quotePrefix="0" xfId="0">
      <alignment horizontal="center"/>
    </xf>
    <xf numFmtId="1" fontId="8" fillId="0" borderId="9" applyAlignment="1" pivotButton="0" quotePrefix="0" xfId="0">
      <alignment horizontal="center"/>
    </xf>
    <xf numFmtId="2" fontId="8" fillId="0" borderId="9" applyAlignment="1" pivotButton="0" quotePrefix="0" xfId="0">
      <alignment horizontal="center"/>
    </xf>
    <xf numFmtId="164" fontId="8" fillId="0" borderId="9" applyAlignment="1" pivotButton="0" quotePrefix="0" xfId="0">
      <alignment horizontal="center"/>
    </xf>
    <xf numFmtId="0" fontId="8" fillId="0" borderId="16" applyAlignment="1" pivotButton="0" quotePrefix="0" xfId="0">
      <alignment horizontal="center"/>
    </xf>
    <xf numFmtId="0" fontId="8" fillId="0" borderId="17" applyAlignment="1" pivotButton="0" quotePrefix="0" xfId="0">
      <alignment horizontal="center"/>
    </xf>
    <xf numFmtId="1" fontId="8" fillId="0" borderId="17" applyAlignment="1" pivotButton="0" quotePrefix="0" xfId="0">
      <alignment horizontal="center"/>
    </xf>
    <xf numFmtId="2" fontId="8" fillId="0" borderId="17" applyAlignment="1" pivotButton="0" quotePrefix="0" xfId="0">
      <alignment horizontal="center"/>
    </xf>
    <xf numFmtId="164" fontId="8" fillId="0" borderId="17" applyAlignment="1" pivotButton="0" quotePrefix="0" xfId="0">
      <alignment horizontal="center"/>
    </xf>
    <xf numFmtId="164" fontId="8" fillId="0" borderId="18" applyAlignment="1" pivotButton="0" quotePrefix="0" xfId="0">
      <alignment horizontal="center"/>
    </xf>
    <xf numFmtId="2" fontId="8" fillId="4" borderId="13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/>
    </xf>
    <xf numFmtId="0" fontId="12" fillId="7" borderId="1" applyAlignment="1" pivotButton="0" quotePrefix="0" xfId="0">
      <alignment horizontal="center" vertical="center" wrapText="1"/>
    </xf>
    <xf numFmtId="0" fontId="13" fillId="0" borderId="0" pivotButton="0" quotePrefix="0" xfId="0"/>
    <xf numFmtId="2" fontId="8" fillId="4" borderId="8" applyAlignment="1" pivotButton="0" quotePrefix="0" xfId="0">
      <alignment horizontal="center"/>
    </xf>
    <xf numFmtId="2" fontId="8" fillId="4" borderId="17" applyAlignment="1" pivotButton="0" quotePrefix="0" xfId="0">
      <alignment horizontal="center"/>
    </xf>
    <xf numFmtId="2" fontId="8" fillId="4" borderId="9" applyAlignment="1" pivotButton="0" quotePrefix="0" xfId="0">
      <alignment horizontal="center"/>
    </xf>
    <xf numFmtId="2" fontId="8" fillId="4" borderId="1" applyAlignment="1" pivotButton="0" quotePrefix="0" xfId="0">
      <alignment horizontal="center"/>
    </xf>
    <xf numFmtId="0" fontId="9" fillId="4" borderId="8" applyAlignment="1" pivotButton="0" quotePrefix="0" xfId="0">
      <alignment horizontal="center"/>
    </xf>
    <xf numFmtId="1" fontId="9" fillId="4" borderId="8" applyAlignment="1" pivotButton="0" quotePrefix="0" xfId="0">
      <alignment horizontal="center"/>
    </xf>
    <xf numFmtId="1" fontId="9" fillId="4" borderId="17" applyAlignment="1" pivotButton="0" quotePrefix="0" xfId="0">
      <alignment horizontal="center"/>
    </xf>
    <xf numFmtId="1" fontId="9" fillId="4" borderId="9" applyAlignment="1" pivotButton="0" quotePrefix="0" xfId="0">
      <alignment horizontal="center"/>
    </xf>
    <xf numFmtId="1" fontId="9" fillId="4" borderId="1" applyAlignment="1" pivotButton="0" quotePrefix="0" xfId="0">
      <alignment horizontal="center"/>
    </xf>
    <xf numFmtId="0" fontId="12" fillId="7" borderId="8" applyAlignment="1" pivotButton="0" quotePrefix="0" xfId="0">
      <alignment horizontal="center" vertical="center" wrapText="1"/>
    </xf>
    <xf numFmtId="0" fontId="12" fillId="7" borderId="14" applyAlignment="1" pivotButton="0" quotePrefix="0" xfId="0">
      <alignment horizontal="center" vertical="center" wrapText="1"/>
    </xf>
    <xf numFmtId="0" fontId="12" fillId="7" borderId="9" applyAlignment="1" pivotButton="0" quotePrefix="0" xfId="0">
      <alignment horizontal="center" vertical="center" wrapText="1"/>
    </xf>
    <xf numFmtId="0" fontId="7" fillId="5" borderId="11" applyAlignment="1" pivotButton="0" quotePrefix="0" xfId="0">
      <alignment horizontal="center"/>
    </xf>
    <xf numFmtId="0" fontId="7" fillId="5" borderId="12" applyAlignment="1" pivotButton="0" quotePrefix="0" xfId="0">
      <alignment horizontal="center"/>
    </xf>
    <xf numFmtId="0" fontId="7" fillId="5" borderId="13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0" borderId="5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2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left"/>
    </xf>
    <xf numFmtId="0" fontId="9" fillId="4" borderId="1" applyAlignment="1" pivotButton="0" quotePrefix="0" xfId="0">
      <alignment horizontal="left" vertical="center" wrapText="1"/>
    </xf>
    <xf numFmtId="0" fontId="9" fillId="3" borderId="3" applyAlignment="1" pivotButton="0" quotePrefix="0" xfId="0">
      <alignment horizontal="center" vertical="center" wrapText="1"/>
    </xf>
    <xf numFmtId="0" fontId="9" fillId="3" borderId="10" applyAlignment="1" pivotButton="0" quotePrefix="0" xfId="0">
      <alignment horizontal="center" vertical="center" wrapText="1"/>
    </xf>
    <xf numFmtId="0" fontId="9" fillId="3" borderId="4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left" vertical="center"/>
    </xf>
    <xf numFmtId="0" fontId="9" fillId="3" borderId="1" applyAlignment="1" pivotButton="0" quotePrefix="0" xfId="0">
      <alignment horizontal="left"/>
    </xf>
    <xf numFmtId="2" fontId="8" fillId="0" borderId="4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/>
    </xf>
    <xf numFmtId="17" fontId="9" fillId="4" borderId="1" applyAlignment="1" pivotButton="0" quotePrefix="0" xfId="0">
      <alignment horizontal="left"/>
    </xf>
    <xf numFmtId="0" fontId="9" fillId="4" borderId="1" applyAlignment="1" pivotButton="0" quotePrefix="0" xfId="0">
      <alignment horizontal="left"/>
    </xf>
    <xf numFmtId="0" fontId="9" fillId="2" borderId="1" applyAlignment="1" pivotButton="0" quotePrefix="0" xfId="0">
      <alignment horizontal="center" vertical="center" wrapText="1"/>
    </xf>
    <xf numFmtId="0" fontId="9" fillId="6" borderId="11" applyAlignment="1" pivotButton="0" quotePrefix="0" xfId="0">
      <alignment horizontal="center" vertical="center"/>
    </xf>
    <xf numFmtId="0" fontId="9" fillId="6" borderId="13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6" borderId="7" applyAlignment="1" pivotButton="0" quotePrefix="0" xfId="0">
      <alignment horizontal="center" vertical="center"/>
    </xf>
    <xf numFmtId="0" fontId="9" fillId="0" borderId="3" applyAlignment="1" pivotButton="0" quotePrefix="0" xfId="0">
      <alignment horizontal="center"/>
    </xf>
    <xf numFmtId="0" fontId="9" fillId="0" borderId="10" applyAlignment="1" pivotButton="0" quotePrefix="0" xfId="0">
      <alignment horizontal="center"/>
    </xf>
    <xf numFmtId="0" fontId="9" fillId="0" borderId="4" applyAlignment="1" pivotButton="0" quotePrefix="0" xfId="0">
      <alignment horizontal="center"/>
    </xf>
    <xf numFmtId="0" fontId="7" fillId="5" borderId="8" applyAlignment="1" pivotButton="0" quotePrefix="0" xfId="0">
      <alignment horizontal="center"/>
    </xf>
    <xf numFmtId="0" fontId="0" fillId="0" borderId="12" pivotButton="0" quotePrefix="0" xfId="0"/>
    <xf numFmtId="0" fontId="0" fillId="0" borderId="13" pivotButton="0" quotePrefix="0" xfId="0"/>
    <xf numFmtId="0" fontId="0" fillId="0" borderId="10" pivotButton="0" quotePrefix="0" xfId="0"/>
    <xf numFmtId="0" fontId="0" fillId="0" borderId="4" pivotButton="0" quotePrefix="0" xfId="0"/>
    <xf numFmtId="0" fontId="7" fillId="0" borderId="14" applyAlignment="1" pivotButton="0" quotePrefix="0" xfId="0">
      <alignment horizontal="center"/>
    </xf>
    <xf numFmtId="0" fontId="0" fillId="0" borderId="6" pivotButton="0" quotePrefix="0" xfId="0"/>
    <xf numFmtId="0" fontId="9" fillId="6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7" pivotButton="0" quotePrefix="0" xfId="0"/>
    <xf numFmtId="0" fontId="0" fillId="0" borderId="14" pivotButton="0" quotePrefix="0" xfId="0"/>
    <xf numFmtId="0" fontId="0" fillId="0" borderId="9" pivotButton="0" quotePrefix="0" xfId="0"/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S25"/>
  <sheetViews>
    <sheetView tabSelected="1" zoomScale="115" zoomScaleNormal="115" workbookViewId="0">
      <selection activeCell="A2" sqref="A2:Q2"/>
    </sheetView>
  </sheetViews>
  <sheetFormatPr baseColWidth="10" defaultRowHeight="15"/>
  <cols>
    <col width="4.5703125" customWidth="1" min="1" max="1"/>
    <col width="9.5703125" customWidth="1" min="2" max="2"/>
    <col width="6.85546875" customWidth="1" min="3" max="3"/>
    <col width="6.28515625" customWidth="1" min="4" max="4"/>
    <col width="7.42578125" customWidth="1" min="5" max="5"/>
    <col width="7.5703125" customWidth="1" min="6" max="6"/>
    <col width="10.5703125" customWidth="1" min="7" max="7"/>
    <col width="5.7109375" customWidth="1" min="8" max="8"/>
    <col width="9.42578125" customWidth="1" min="9" max="9"/>
    <col width="6.140625" customWidth="1" min="10" max="10"/>
    <col width="5.5703125" customWidth="1" min="11" max="11"/>
    <col width="6" customWidth="1" min="12" max="12"/>
    <col width="6.7109375" customWidth="1" min="13" max="13"/>
    <col width="7.7109375" bestFit="1" customWidth="1" min="14" max="14"/>
    <col hidden="1" width="8.42578125" customWidth="1" min="15" max="15"/>
    <col width="8.140625" customWidth="1" min="16" max="16"/>
    <col width="13.85546875" customWidth="1" min="17" max="17"/>
    <col width="2.5703125" customWidth="1" min="18" max="18"/>
  </cols>
  <sheetData>
    <row r="1"/>
    <row r="2">
      <c r="A2" s="74" t="inlineStr">
        <is>
          <t>CORRELACIÓN GEOTÉCNICA DE PARÁMETROS GEOMECÁNICOS</t>
        </is>
      </c>
      <c r="B2" s="75" t="n"/>
      <c r="C2" s="75" t="n"/>
      <c r="D2" s="75" t="n"/>
      <c r="E2" s="75" t="n"/>
      <c r="F2" s="75" t="n"/>
      <c r="G2" s="75" t="n"/>
      <c r="H2" s="75" t="n"/>
      <c r="I2" s="75" t="n"/>
      <c r="J2" s="75" t="n"/>
      <c r="K2" s="75" t="n"/>
      <c r="L2" s="75" t="n"/>
      <c r="M2" s="75" t="n"/>
      <c r="N2" s="75" t="n"/>
      <c r="O2" s="75" t="n"/>
      <c r="P2" s="75" t="n"/>
      <c r="Q2" s="76" t="n"/>
    </row>
    <row r="3">
      <c r="A3" s="50" t="inlineStr">
        <is>
          <t>MEMORIAS DE CÁLCULO</t>
        </is>
      </c>
      <c r="B3" s="77" t="n"/>
      <c r="C3" s="77" t="n"/>
      <c r="D3" s="77" t="n"/>
      <c r="E3" s="77" t="n"/>
      <c r="F3" s="77" t="n"/>
      <c r="G3" s="77" t="n"/>
      <c r="H3" s="77" t="n"/>
      <c r="I3" s="77" t="n"/>
      <c r="J3" s="77" t="n"/>
      <c r="K3" s="77" t="n"/>
      <c r="L3" s="77" t="n"/>
      <c r="M3" s="77" t="n"/>
      <c r="N3" s="77" t="n"/>
      <c r="O3" s="77" t="n"/>
      <c r="P3" s="77" t="n"/>
      <c r="Q3" s="78" t="n"/>
    </row>
    <row r="4" ht="9.75" customHeight="1">
      <c r="A4" s="79" t="n"/>
      <c r="Q4" s="80" t="n"/>
    </row>
    <row r="5">
      <c r="A5" s="54" t="inlineStr">
        <is>
          <t>Parámetro:</t>
        </is>
      </c>
      <c r="B5" s="78" t="n"/>
      <c r="C5" s="55" t="inlineStr">
        <is>
          <t>Ángulo de Fricción Interna (ø°)  a partir del Standard Penetratión Testing (S.P.T.).</t>
        </is>
      </c>
      <c r="D5" s="77" t="n"/>
      <c r="E5" s="77" t="n"/>
      <c r="F5" s="77" t="n"/>
      <c r="G5" s="77" t="n"/>
      <c r="H5" s="77" t="n"/>
      <c r="I5" s="77" t="n"/>
      <c r="J5" s="77" t="n"/>
      <c r="K5" s="77" t="n"/>
      <c r="L5" s="77" t="n"/>
      <c r="M5" s="77" t="n"/>
      <c r="N5" s="77" t="n"/>
      <c r="O5" s="77" t="n"/>
      <c r="P5" s="77" t="n"/>
      <c r="Q5" s="78" t="n"/>
    </row>
    <row r="6" ht="24" customHeight="1">
      <c r="A6" s="54" t="inlineStr">
        <is>
          <t>Proyecto:</t>
        </is>
      </c>
      <c r="B6" s="78" t="n"/>
      <c r="C6" s="56" t="inlineStr">
        <is>
          <t>CONSTRUCCIÓN DE UNA CASA CAMPESTRE DE 2 NIVELES UBICADA EN LA PARCELACIÓN EL LEÓN LOTE 17 VEREDA EL TAMBO ZONA RURAL DEL MUNICIPIO DE SAN PEDRO DE LOS MILAGROS - ANT</t>
        </is>
      </c>
      <c r="D6" s="77" t="n"/>
      <c r="E6" s="77" t="n"/>
      <c r="F6" s="77" t="n"/>
      <c r="G6" s="77" t="n"/>
      <c r="H6" s="77" t="n"/>
      <c r="I6" s="77" t="n"/>
      <c r="J6" s="77" t="n"/>
      <c r="K6" s="77" t="n"/>
      <c r="L6" s="77" t="n"/>
      <c r="M6" s="77" t="n"/>
      <c r="N6" s="77" t="n"/>
      <c r="O6" s="77" t="n"/>
      <c r="P6" s="77" t="n"/>
      <c r="Q6" s="78" t="n"/>
    </row>
    <row r="7" ht="15" customHeight="1">
      <c r="A7" s="60" t="inlineStr">
        <is>
          <t>Fecha:</t>
        </is>
      </c>
      <c r="B7" s="78" t="n"/>
      <c r="C7" s="64" t="n">
        <v>46112</v>
      </c>
      <c r="D7" s="77" t="n"/>
      <c r="E7" s="78" t="n"/>
      <c r="F7" s="61" t="inlineStr">
        <is>
          <t>Peso del Martinete (Kg):</t>
        </is>
      </c>
      <c r="G7" s="78" t="n"/>
      <c r="H7" s="10" t="n">
        <v>63.5</v>
      </c>
      <c r="I7" s="11" t="n"/>
      <c r="J7" s="66" t="inlineStr">
        <is>
          <t>Método de Cálculo:</t>
        </is>
      </c>
      <c r="K7" s="76" t="n"/>
      <c r="L7" s="81" t="inlineStr">
        <is>
          <t>Gonzales 1999</t>
        </is>
      </c>
      <c r="M7" s="76" t="n"/>
      <c r="N7" s="82" t="inlineStr">
        <is>
          <t>Seed Idriss (Marcuson) (Cn &lt;=2)</t>
        </is>
      </c>
      <c r="O7" s="77" t="n"/>
      <c r="P7" s="77" t="n"/>
      <c r="Q7" s="78" t="n"/>
    </row>
    <row r="8" ht="15" customHeight="1">
      <c r="A8" s="60" t="inlineStr">
        <is>
          <t>Sondeo:</t>
        </is>
      </c>
      <c r="B8" s="78" t="n"/>
      <c r="C8" s="4" t="inlineStr">
        <is>
          <t>P-1</t>
        </is>
      </c>
      <c r="D8" s="77" t="n"/>
      <c r="E8" s="78" t="n"/>
      <c r="F8" s="61" t="inlineStr">
        <is>
          <t>Altura de caída (m):</t>
        </is>
      </c>
      <c r="G8" s="78" t="n"/>
      <c r="H8" s="10" t="n">
        <v>0.76</v>
      </c>
      <c r="I8" s="4" t="n"/>
      <c r="J8" s="83" t="n"/>
      <c r="K8" s="84" t="n"/>
      <c r="L8" s="83" t="n"/>
      <c r="M8" s="84" t="n"/>
      <c r="N8" s="82" t="inlineStr">
        <is>
          <t>Kishida ajustada a e=45%</t>
        </is>
      </c>
      <c r="O8" s="77" t="n"/>
      <c r="P8" s="77" t="n"/>
      <c r="Q8" s="78" t="n"/>
    </row>
    <row r="9">
      <c r="A9" s="5" t="inlineStr">
        <is>
          <t>Z(m)</t>
        </is>
      </c>
      <c r="B9" s="8" t="inlineStr">
        <is>
          <t>g (kN/m3)</t>
        </is>
      </c>
      <c r="C9" s="8" t="inlineStr">
        <is>
          <t>sv (kPa)</t>
        </is>
      </c>
      <c r="D9" s="7" t="inlineStr">
        <is>
          <t>m (kPa)</t>
        </is>
      </c>
      <c r="E9" s="8" t="inlineStr">
        <is>
          <t>s´v (kPa)</t>
        </is>
      </c>
      <c r="F9" s="5" t="inlineStr">
        <is>
          <t>N(campo)</t>
        </is>
      </c>
      <c r="G9" s="5" t="inlineStr">
        <is>
          <t>N1(Confina)</t>
        </is>
      </c>
      <c r="H9" s="5" t="inlineStr">
        <is>
          <t>Rs</t>
        </is>
      </c>
      <c r="I9" s="5" t="n"/>
      <c r="J9" s="5" t="inlineStr">
        <is>
          <t>Cn</t>
        </is>
      </c>
      <c r="K9" s="5" t="inlineStr">
        <is>
          <t>N1(45)</t>
        </is>
      </c>
      <c r="L9" s="8" t="inlineStr">
        <is>
          <t>f'eq (°)</t>
        </is>
      </c>
      <c r="M9" s="8" t="inlineStr">
        <is>
          <t>t (kPa)</t>
        </is>
      </c>
      <c r="N9" s="8" t="inlineStr">
        <is>
          <t>E (MPa)</t>
        </is>
      </c>
      <c r="O9" s="6" t="inlineStr">
        <is>
          <t>C' (kPa)</t>
        </is>
      </c>
      <c r="P9" s="8" t="inlineStr">
        <is>
          <t xml:space="preserve">f' (°) </t>
        </is>
      </c>
      <c r="Q9" s="8" t="inlineStr">
        <is>
          <t>Suelo</t>
        </is>
      </c>
    </row>
    <row r="10" ht="20.25" customHeight="1">
      <c r="A10" s="14" t="n">
        <v>0.45</v>
      </c>
      <c r="B10" s="35" t="n">
        <v>15</v>
      </c>
      <c r="C10" s="14">
        <f>B10*A10</f>
        <v/>
      </c>
      <c r="D10" s="14">
        <f>IF(A10&lt;=$I$8,(0),10*(A10-$I$8))</f>
        <v/>
      </c>
      <c r="E10" s="14">
        <f>C10-D10</f>
        <v/>
      </c>
      <c r="F10" s="39" t="n">
        <v>7</v>
      </c>
      <c r="G10" s="16">
        <f>F10*J10</f>
        <v/>
      </c>
      <c r="H10" s="14">
        <f>E10/100</f>
        <v/>
      </c>
      <c r="I10" s="14" t="n"/>
      <c r="J10" s="15">
        <f>LOG10(20/H10)/LOG10(20)</f>
        <v/>
      </c>
      <c r="K10" s="16">
        <f>G10*(42/45)</f>
        <v/>
      </c>
      <c r="L10" s="16">
        <f>(15+(POWER((12.5*K10),0.5)))</f>
        <v/>
      </c>
      <c r="M10" s="17">
        <f>E10*TAN(L10*PI()/180)</f>
        <v/>
      </c>
      <c r="N10" s="17">
        <f>0.3*(K10*45/55+6)</f>
        <v/>
      </c>
      <c r="O10" s="31" t="n">
        <v>5</v>
      </c>
      <c r="P10" s="18">
        <f>L10</f>
        <v/>
      </c>
      <c r="Q10" s="33" t="inlineStr">
        <is>
          <t>Capa vegetal y materia orgánica</t>
        </is>
      </c>
    </row>
    <row r="11" ht="15" customHeight="1" thickBot="1">
      <c r="A11" s="14" t="n">
        <v>1.45</v>
      </c>
      <c r="B11" s="35" t="n">
        <v>16</v>
      </c>
      <c r="C11" s="14">
        <f>B11*A11</f>
        <v/>
      </c>
      <c r="D11" s="14">
        <f>IF(A11&lt;=$I$8,(0),10*(A11-$I$8))</f>
        <v/>
      </c>
      <c r="E11" s="14">
        <f>C11-D11</f>
        <v/>
      </c>
      <c r="F11" s="40" t="n">
        <v>8.333333333333334</v>
      </c>
      <c r="G11" s="16">
        <f>F11*J11</f>
        <v/>
      </c>
      <c r="H11" s="14">
        <f>E11/100</f>
        <v/>
      </c>
      <c r="I11" s="14" t="n"/>
      <c r="J11" s="15">
        <f>LOG10(20/H11)/LOG10(20)</f>
        <v/>
      </c>
      <c r="K11" s="16">
        <f>G11*(42/45)</f>
        <v/>
      </c>
      <c r="L11" s="16">
        <f>(15+(POWER((12.5*K11),0.5)))</f>
        <v/>
      </c>
      <c r="M11" s="17">
        <f>E11*TAN(L11*PI()/180)</f>
        <v/>
      </c>
      <c r="N11" s="17">
        <f>0.32*(K11*45/55+15)</f>
        <v/>
      </c>
      <c r="O11" s="62" t="n">
        <v>5</v>
      </c>
      <c r="P11" s="13">
        <f>L11</f>
        <v/>
      </c>
      <c r="Q11" s="33" t="inlineStr">
        <is>
          <t xml:space="preserve">ceniza volcanica </t>
        </is>
      </c>
    </row>
    <row r="12" ht="14.45" customHeight="1" thickBot="1">
      <c r="A12" s="25" t="n">
        <v>2.45</v>
      </c>
      <c r="B12" s="36" t="n">
        <v>17</v>
      </c>
      <c r="C12" s="26">
        <f>(A12-A11)*B12+C11</f>
        <v/>
      </c>
      <c r="D12" s="26">
        <f>IF(A12&lt;=$I$8,(0),10*(A12-$I$8))</f>
        <v/>
      </c>
      <c r="E12" s="26">
        <f>C12-D12</f>
        <v/>
      </c>
      <c r="F12" s="41" t="n">
        <v>15</v>
      </c>
      <c r="G12" s="27">
        <f>F12*J12</f>
        <v/>
      </c>
      <c r="H12" s="26">
        <f>E12/100</f>
        <v/>
      </c>
      <c r="I12" s="26" t="n"/>
      <c r="J12" s="28">
        <f>LOG10(20/H12)/LOG10(20)</f>
        <v/>
      </c>
      <c r="K12" s="27">
        <f>G12*(42/45)</f>
        <v/>
      </c>
      <c r="L12" s="27">
        <f>(15+(POWER((12.5*K12),0.5)))</f>
        <v/>
      </c>
      <c r="M12" s="29">
        <f>E12*TAN(L12*PI()/180)</f>
        <v/>
      </c>
      <c r="N12" s="30">
        <f>0.32*(K12*45/55+15)</f>
        <v/>
      </c>
      <c r="O12" s="80" t="n"/>
      <c r="P12" s="13">
        <f>L12</f>
        <v/>
      </c>
      <c r="Q12" s="33" t="inlineStr">
        <is>
          <t xml:space="preserve">Limo arenoso con colores desde el gris claro hasta naranja de origen residual de roca </t>
        </is>
      </c>
    </row>
    <row r="13" ht="15" customHeight="1">
      <c r="A13" s="21" t="n">
        <v>3.45</v>
      </c>
      <c r="B13" s="37" t="n">
        <v>17</v>
      </c>
      <c r="C13" s="21">
        <f>(A13-A12)*B13+C12</f>
        <v/>
      </c>
      <c r="D13" s="21">
        <f>IF(A13&lt;=$I$8,(0),10*(A13-$I$8))</f>
        <v/>
      </c>
      <c r="E13" s="21">
        <f>C13-D13</f>
        <v/>
      </c>
      <c r="F13" s="42" t="n">
        <v>19.3333333333333</v>
      </c>
      <c r="G13" s="22">
        <f>F13*J13</f>
        <v/>
      </c>
      <c r="H13" s="21">
        <f>E13/100</f>
        <v/>
      </c>
      <c r="I13" s="21" t="n"/>
      <c r="J13" s="23">
        <f>LOG10(20/H13)/LOG10(20)</f>
        <v/>
      </c>
      <c r="K13" s="22">
        <f>G13*(42/45)</f>
        <v/>
      </c>
      <c r="L13" s="22">
        <f>(15+(POWER((12.5*K13),0.5)))</f>
        <v/>
      </c>
      <c r="M13" s="24">
        <f>E13*TAN(L13*PI()/180)</f>
        <v/>
      </c>
      <c r="N13" s="24">
        <f>0.32*(K13*45/55+15)</f>
        <v/>
      </c>
      <c r="O13" s="80" t="n"/>
      <c r="P13" s="13">
        <f>L13</f>
        <v/>
      </c>
      <c r="Q13" s="85" t="n"/>
    </row>
    <row r="14" ht="15" customHeight="1">
      <c r="A14" s="1" t="n">
        <v>4.45</v>
      </c>
      <c r="B14" s="38" t="n">
        <v>17</v>
      </c>
      <c r="C14" s="1">
        <f>(A14-A13)*B14+C13</f>
        <v/>
      </c>
      <c r="D14" s="1">
        <f>IF(A14&lt;=$I$8,(0),10*(A14-$I$8))</f>
        <v/>
      </c>
      <c r="E14" s="1">
        <f>C14-D14</f>
        <v/>
      </c>
      <c r="F14" s="43" t="n">
        <v>22.66666666666667</v>
      </c>
      <c r="G14" s="2">
        <f>F14*J14</f>
        <v/>
      </c>
      <c r="H14" s="1">
        <f>E14/100</f>
        <v/>
      </c>
      <c r="I14" s="1" t="n"/>
      <c r="J14" s="3">
        <f>LOG10(20/H14)/LOG10(20)</f>
        <v/>
      </c>
      <c r="K14" s="2">
        <f>G14*(42/45)</f>
        <v/>
      </c>
      <c r="L14" s="2">
        <f>(15+(POWER((12.5*K14),0.5)))</f>
        <v/>
      </c>
      <c r="M14" s="9">
        <f>E14*TAN(L14*PI()/180)</f>
        <v/>
      </c>
      <c r="N14" s="9">
        <f>0.32*(K14*45/55+15)</f>
        <v/>
      </c>
      <c r="O14" s="80" t="n"/>
      <c r="P14" s="13">
        <f>L14</f>
        <v/>
      </c>
      <c r="Q14" s="85" t="n"/>
      <c r="S14" t="n">
        <v>0.217</v>
      </c>
    </row>
    <row r="15" ht="14.45" customHeight="1">
      <c r="A15" s="1" t="n">
        <v>5.45</v>
      </c>
      <c r="B15" s="38" t="n">
        <v>17</v>
      </c>
      <c r="C15" s="1">
        <f>(A15-A14)*B15+C14</f>
        <v/>
      </c>
      <c r="D15" s="1">
        <f>IF(A15&lt;=$I$8,(0),10*(A15-$I$8))</f>
        <v/>
      </c>
      <c r="E15" s="1">
        <f>C15-D15</f>
        <v/>
      </c>
      <c r="F15" s="43" t="n">
        <v>26</v>
      </c>
      <c r="G15" s="2">
        <f>F15*J15</f>
        <v/>
      </c>
      <c r="H15" s="12">
        <f>E15/100</f>
        <v/>
      </c>
      <c r="I15" s="1" t="n"/>
      <c r="J15" s="3">
        <f>LOG10(20/H15)/LOG10(20)</f>
        <v/>
      </c>
      <c r="K15" s="2">
        <f>G15*(42/45)</f>
        <v/>
      </c>
      <c r="L15" s="2">
        <f>(15+(POWER((12.5*K15),0.5)))</f>
        <v/>
      </c>
      <c r="M15" s="9">
        <f>E15*TAN(L15*PI()/180)</f>
        <v/>
      </c>
      <c r="N15" s="9">
        <f>0.32*(K15*45/55+15)</f>
        <v/>
      </c>
      <c r="O15" s="80" t="n"/>
      <c r="P15" s="13">
        <f>L15</f>
        <v/>
      </c>
      <c r="Q15" s="85" t="n"/>
    </row>
    <row r="16">
      <c r="A16" s="1" t="n">
        <v>6.45</v>
      </c>
      <c r="B16" s="38" t="n">
        <v>17</v>
      </c>
      <c r="C16" s="1">
        <f>(A16-A15)*B16+C15</f>
        <v/>
      </c>
      <c r="D16" s="1">
        <f>IF(A16&lt;=$I$8,(0),10*(A16-$I$8))</f>
        <v/>
      </c>
      <c r="E16" s="1">
        <f>C16-D16</f>
        <v/>
      </c>
      <c r="F16" s="43" t="n">
        <v>29.33333333333333</v>
      </c>
      <c r="G16" s="2">
        <f>F16*J16</f>
        <v/>
      </c>
      <c r="H16" s="12">
        <f>E16/100</f>
        <v/>
      </c>
      <c r="I16" s="1" t="n"/>
      <c r="J16" s="3">
        <f>LOG10(20/H16)/LOG10(20)</f>
        <v/>
      </c>
      <c r="K16" s="2">
        <f>G16*(42/45)</f>
        <v/>
      </c>
      <c r="L16" s="2">
        <f>(15+(POWER((12.5*K16),0.5)))</f>
        <v/>
      </c>
      <c r="M16" s="9">
        <f>E16*TAN(L16*PI()/180)</f>
        <v/>
      </c>
      <c r="N16" s="9">
        <f>0.32*(K16*45/55+15)</f>
        <v/>
      </c>
      <c r="O16" s="84" t="n"/>
      <c r="P16" s="13">
        <f>L16</f>
        <v/>
      </c>
      <c r="Q16" s="86" t="n"/>
    </row>
    <row r="17">
      <c r="A17" s="19" t="n"/>
    </row>
    <row r="18">
      <c r="A18" s="63" t="inlineStr">
        <is>
          <t>Cordialmente</t>
        </is>
      </c>
      <c r="N18" s="34" t="n"/>
    </row>
    <row r="19">
      <c r="A19" s="63" t="n"/>
      <c r="B19" s="63" t="n"/>
    </row>
    <row r="20">
      <c r="A20" s="63" t="n"/>
      <c r="B20" s="63" t="n"/>
    </row>
    <row r="21"/>
    <row r="22" ht="15.75" customHeight="1" thickBot="1">
      <c r="A22" s="20" t="n"/>
      <c r="B22" s="20" t="n"/>
      <c r="C22" s="20" t="n"/>
      <c r="D22" s="20" t="n"/>
    </row>
    <row r="23">
      <c r="A23" t="inlineStr">
        <is>
          <t>EDWIN MARIN MONTOYA</t>
        </is>
      </c>
    </row>
    <row r="24">
      <c r="A24" t="inlineStr">
        <is>
          <t>Ingeniero Civil</t>
        </is>
      </c>
    </row>
    <row r="25">
      <c r="A25" t="inlineStr">
        <is>
          <t>MP 05202-254406</t>
        </is>
      </c>
    </row>
  </sheetData>
  <mergeCells count="20">
    <mergeCell ref="J7:K8"/>
    <mergeCell ref="A6:B6"/>
    <mergeCell ref="F7:G7"/>
    <mergeCell ref="A7:B7"/>
    <mergeCell ref="C8:E8"/>
    <mergeCell ref="A18:B18"/>
    <mergeCell ref="C7:E7"/>
    <mergeCell ref="N7:Q7"/>
    <mergeCell ref="F8:G8"/>
    <mergeCell ref="A3:Q3"/>
    <mergeCell ref="L7:M8"/>
    <mergeCell ref="Q12:Q16"/>
    <mergeCell ref="A5:B5"/>
    <mergeCell ref="A2:Q2"/>
    <mergeCell ref="O11:O16"/>
    <mergeCell ref="A8:B8"/>
    <mergeCell ref="C6:Q6"/>
    <mergeCell ref="N8:Q8"/>
    <mergeCell ref="A4:Q4"/>
    <mergeCell ref="C5:Q5"/>
  </mergeCells>
  <pageMargins left="0.5118110236220472" right="0.5118110236220472" top="0.5511811023622047" bottom="0.5511811023622047" header="0.3149606299212598" footer="0.3149606299212598"/>
  <pageSetup orientation="landscape"/>
  <headerFooter>
    <oddHeader/>
    <oddFooter>&amp;C&amp;"Arial,Normal"&amp;8 MEMORIAS DE CÁLCULO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William Gomez</dc:creator>
  <dcterms:created xmlns:dcterms="http://purl.org/dc/terms/" xmlns:xsi="http://www.w3.org/2001/XMLSchema-instance" xsi:type="dcterms:W3CDTF">2010-03-28T21:22:08Z</dcterms:created>
  <dcterms:modified xmlns:dcterms="http://purl.org/dc/terms/" xmlns:xsi="http://www.w3.org/2001/XMLSchema-instance" xsi:type="dcterms:W3CDTF">2026-06-06T12:29:45Z</dcterms:modified>
  <cp:lastModifiedBy>Paola Andrea Garcia Tangarife</cp:lastModifiedBy>
  <cp:lastPrinted>2025-10-31T04:57:46Z</cp:lastPrinted>
</cp:coreProperties>
</file>