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622C883C-C2C7-4B70-A3F0-C530FA572C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3" sheetId="50" r:id="rId1"/>
  </sheets>
  <definedNames>
    <definedName name="_xlnm.Print_Area" localSheetId="0">'P3'!$A$2:$Q$25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50" l="1"/>
  <c r="D15" i="50"/>
  <c r="D14" i="50"/>
  <c r="D13" i="50"/>
  <c r="D12" i="50"/>
  <c r="D11" i="50"/>
  <c r="D10" i="50"/>
  <c r="C10" i="50"/>
  <c r="E10" i="50" l="1"/>
  <c r="H10" i="50" s="1"/>
  <c r="C11" i="50"/>
  <c r="E11" i="50" s="1"/>
  <c r="C12" i="50" l="1"/>
  <c r="E12" i="50" s="1"/>
  <c r="H12" i="50" s="1"/>
  <c r="I12" i="50" s="1"/>
  <c r="J10" i="50"/>
  <c r="G10" i="50" s="1"/>
  <c r="K10" i="50" s="1"/>
  <c r="I10" i="50"/>
  <c r="H11" i="50"/>
  <c r="C13" i="50" l="1"/>
  <c r="E13" i="50" s="1"/>
  <c r="H13" i="50" s="1"/>
  <c r="L10" i="50"/>
  <c r="N10" i="50"/>
  <c r="I11" i="50"/>
  <c r="J11" i="50"/>
  <c r="G11" i="50" s="1"/>
  <c r="K11" i="50" s="1"/>
  <c r="J12" i="50"/>
  <c r="G12" i="50" s="1"/>
  <c r="K12" i="50" s="1"/>
  <c r="C14" i="50" l="1"/>
  <c r="E14" i="50" s="1"/>
  <c r="H14" i="50" s="1"/>
  <c r="N12" i="50"/>
  <c r="N11" i="50"/>
  <c r="M10" i="50"/>
  <c r="P10" i="50"/>
  <c r="I13" i="50"/>
  <c r="J13" i="50"/>
  <c r="G13" i="50" s="1"/>
  <c r="K13" i="50" s="1"/>
  <c r="L12" i="50"/>
  <c r="L11" i="50"/>
  <c r="M11" i="50" l="1"/>
  <c r="P11" i="50"/>
  <c r="M12" i="50"/>
  <c r="P12" i="50"/>
  <c r="C15" i="50"/>
  <c r="E15" i="50" s="1"/>
  <c r="H15" i="50" s="1"/>
  <c r="N13" i="50"/>
  <c r="L13" i="50"/>
  <c r="I14" i="50"/>
  <c r="J14" i="50"/>
  <c r="G14" i="50" s="1"/>
  <c r="K14" i="50" s="1"/>
  <c r="C16" i="50" l="1"/>
  <c r="E16" i="50" s="1"/>
  <c r="H16" i="50" s="1"/>
  <c r="M13" i="50"/>
  <c r="P13" i="50"/>
  <c r="N14" i="50"/>
  <c r="L14" i="50"/>
  <c r="J15" i="50"/>
  <c r="G15" i="50" s="1"/>
  <c r="K15" i="50" s="1"/>
  <c r="I15" i="50"/>
  <c r="M14" i="50" l="1"/>
  <c r="P14" i="50"/>
  <c r="N15" i="50"/>
  <c r="L15" i="50"/>
  <c r="J16" i="50"/>
  <c r="G16" i="50" s="1"/>
  <c r="K16" i="50" s="1"/>
  <c r="I16" i="50"/>
  <c r="M15" i="50" l="1"/>
  <c r="P15" i="50"/>
  <c r="N16" i="50"/>
  <c r="L16" i="50"/>
  <c r="M16" i="50" l="1"/>
  <c r="P16" i="50"/>
</calcChain>
</file>

<file path=xl/sharedStrings.xml><?xml version="1.0" encoding="utf-8"?>
<sst xmlns="http://schemas.openxmlformats.org/spreadsheetml/2006/main" count="41" uniqueCount="41">
  <si>
    <t>Z(m)</t>
  </si>
  <si>
    <t>N(campo)</t>
  </si>
  <si>
    <r>
      <t>N1</t>
    </r>
    <r>
      <rPr>
        <sz val="8"/>
        <color indexed="8"/>
        <rFont val="Calibri"/>
        <family val="2"/>
      </rPr>
      <t>(Confina)</t>
    </r>
  </si>
  <si>
    <t>Suelo</t>
  </si>
  <si>
    <t>CORRELACIÓN GEOTÉCNICA DE PARÁMETROS GEOMECÁNICOS</t>
  </si>
  <si>
    <t>MEMORIAS DE CÁLCULO</t>
  </si>
  <si>
    <t>Parámetro:</t>
  </si>
  <si>
    <t>Proyecto:</t>
  </si>
  <si>
    <t>Fecha:</t>
  </si>
  <si>
    <r>
      <t>N</t>
    </r>
    <r>
      <rPr>
        <sz val="8"/>
        <color indexed="8"/>
        <rFont val="Calibri"/>
        <family val="2"/>
      </rPr>
      <t>1(45)</t>
    </r>
  </si>
  <si>
    <t>Rs</t>
  </si>
  <si>
    <r>
      <t>Z</t>
    </r>
    <r>
      <rPr>
        <sz val="8"/>
        <color indexed="8"/>
        <rFont val="Arial"/>
        <family val="2"/>
      </rPr>
      <t>NF(m)=</t>
    </r>
  </si>
  <si>
    <t>K (Marcuson)</t>
  </si>
  <si>
    <t>Gonzales 1999</t>
  </si>
  <si>
    <t>Sondeo: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</si>
  <si>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Symbol"/>
        <family val="1"/>
        <charset val="2"/>
      </rPr>
      <t xml:space="preserve"> </t>
    </r>
    <r>
      <rPr>
        <sz val="10"/>
        <color indexed="8"/>
        <rFont val="Symbol"/>
        <family val="1"/>
        <charset val="2"/>
      </rPr>
      <t>(</t>
    </r>
    <r>
      <rPr>
        <sz val="10"/>
        <color indexed="8"/>
        <rFont val="Calibri"/>
        <family val="2"/>
      </rPr>
      <t>°</t>
    </r>
    <r>
      <rPr>
        <sz val="11"/>
        <color indexed="8"/>
        <rFont val="Calibri"/>
        <family val="2"/>
      </rPr>
      <t>)</t>
    </r>
    <r>
      <rPr>
        <sz val="8"/>
        <color indexed="8"/>
        <rFont val="Calibri"/>
        <family val="2"/>
      </rPr>
      <t xml:space="preserve"> </t>
    </r>
  </si>
  <si>
    <t>Método de Cálculo:</t>
  </si>
  <si>
    <r>
      <rPr>
        <sz val="8"/>
        <color indexed="8"/>
        <rFont val="Symbol"/>
        <family val="1"/>
        <charset val="2"/>
      </rPr>
      <t>f</t>
    </r>
    <r>
      <rPr>
        <sz val="11"/>
        <color indexed="8"/>
        <rFont val="Calibri"/>
        <family val="2"/>
      </rPr>
      <t>'</t>
    </r>
    <r>
      <rPr>
        <sz val="8"/>
        <color indexed="8"/>
        <rFont val="Calibri"/>
        <family val="2"/>
      </rPr>
      <t>eq</t>
    </r>
    <r>
      <rPr>
        <sz val="11"/>
        <color indexed="8"/>
        <rFont val="Calibri"/>
        <family val="2"/>
      </rPr>
      <t xml:space="preserve"> (°)</t>
    </r>
  </si>
  <si>
    <t>Seed Idriss (Marcuson) (Cn &lt;=2)</t>
  </si>
  <si>
    <t>Cn</t>
  </si>
  <si>
    <t>Kishida ajustada a e=45%</t>
  </si>
  <si>
    <t>P-1</t>
  </si>
  <si>
    <t>Peso del Martinete (Kg):</t>
  </si>
  <si>
    <t>Altura de caída (m):</t>
  </si>
  <si>
    <t>E (MPa)</t>
  </si>
  <si>
    <r>
      <rPr>
        <sz val="8"/>
        <color indexed="8"/>
        <rFont val="Symbol"/>
        <family val="1"/>
        <charset val="2"/>
      </rPr>
      <t xml:space="preserve">g </t>
    </r>
    <r>
      <rPr>
        <sz val="8"/>
        <color indexed="8"/>
        <rFont val="Arial"/>
        <family val="2"/>
      </rPr>
      <t>(kN/m3)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</si>
  <si>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v (kPa)</t>
    </r>
  </si>
  <si>
    <r>
      <t xml:space="preserve">m </t>
    </r>
    <r>
      <rPr>
        <sz val="8"/>
        <color indexed="8"/>
        <rFont val="Arial"/>
        <family val="2"/>
      </rPr>
      <t>(kPa)</t>
    </r>
  </si>
  <si>
    <r>
      <rPr>
        <sz val="8"/>
        <color indexed="8"/>
        <rFont val="Symbol"/>
        <family val="1"/>
        <charset val="2"/>
      </rPr>
      <t>s</t>
    </r>
    <r>
      <rPr>
        <sz val="8"/>
        <color indexed="8"/>
        <rFont val="Calibri"/>
        <family val="2"/>
      </rPr>
      <t>´v (kPa)</t>
    </r>
  </si>
  <si>
    <r>
      <rPr>
        <sz val="8"/>
        <color indexed="8"/>
        <rFont val="Symbol"/>
        <family val="1"/>
        <charset val="2"/>
      </rPr>
      <t>t</t>
    </r>
    <r>
      <rPr>
        <sz val="8"/>
        <color indexed="8"/>
        <rFont val="Calibri"/>
        <family val="2"/>
      </rPr>
      <t xml:space="preserve"> (kPa)</t>
    </r>
  </si>
  <si>
    <r>
      <t>C</t>
    </r>
    <r>
      <rPr>
        <sz val="10"/>
        <color indexed="8"/>
        <rFont val="Calibri"/>
        <family val="2"/>
      </rPr>
      <t xml:space="preserve">' </t>
    </r>
    <r>
      <rPr>
        <sz val="8"/>
        <color indexed="8"/>
        <rFont val="Calibri"/>
        <family val="2"/>
      </rPr>
      <t>(kPa)</t>
    </r>
  </si>
  <si>
    <t>N.A.</t>
  </si>
  <si>
    <r>
      <t>Ángulo de Fricción Interna (</t>
    </r>
    <r>
      <rPr>
        <sz val="8"/>
        <color indexed="8"/>
        <rFont val="Arial"/>
        <family val="2"/>
      </rPr>
      <t>ø°)  a partir del Standard Penetratión Testing (S.P.T.).</t>
    </r>
  </si>
  <si>
    <t>Cordialmente</t>
  </si>
  <si>
    <t>EDWIN MARIN MONTOYA</t>
  </si>
  <si>
    <t>Ingeniero Civil</t>
  </si>
  <si>
    <t>MP 05202-254406</t>
  </si>
  <si>
    <t>Capa vegetal y materia orgánica</t>
  </si>
  <si>
    <t xml:space="preserve">Limo arenoso con colores desde el gris claro hasta naranja de origen residual de roca </t>
  </si>
  <si>
    <t>CONSTRUCCIÓN DE UNA CASA CAMPESTRE DE 2 NIVELES UBICADA EN LA PARCELACIÓN EL LEÓN LOTE 17 VEREDA EL TAMBO ZONA RURAL DEL MUNICIPIO DE SAN PEDRO DE LOS MILAGROS - ANT</t>
  </si>
  <si>
    <t xml:space="preserve">ceniza volcanica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</si>
</sst>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Symbol"/>
      <family val="1"/>
      <charset val="2"/>
    </font>
    <font>
      <sz val="8"/>
      <color indexed="8"/>
      <name val="Symbol"/>
      <family val="1"/>
      <charset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sz val="7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" fontId="8" fillId="4" borderId="3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2" fontId="8" fillId="4" borderId="11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15" xfId="0" applyBorder="1"/>
    <xf numFmtId="0" fontId="8" fillId="0" borderId="9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2" fontId="8" fillId="4" borderId="13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7" fontId="9" fillId="7" borderId="1" xfId="0" applyNumberFormat="1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7" borderId="1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2" fontId="8" fillId="0" borderId="4" xfId="0" applyNumberFormat="1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/>
    </xf>
    <xf numFmtId="1" fontId="9" fillId="7" borderId="8" xfId="0" applyNumberFormat="1" applyFont="1" applyFill="1" applyBorder="1" applyAlignment="1">
      <alignment horizontal="center"/>
    </xf>
    <xf numFmtId="1" fontId="9" fillId="7" borderId="17" xfId="0" applyNumberFormat="1" applyFont="1" applyFill="1" applyBorder="1" applyAlignment="1">
      <alignment horizontal="center"/>
    </xf>
    <xf numFmtId="1" fontId="9" fillId="7" borderId="9" xfId="0" applyNumberFormat="1" applyFont="1" applyFill="1" applyBorder="1" applyAlignment="1">
      <alignment horizontal="center"/>
    </xf>
    <xf numFmtId="1" fontId="9" fillId="7" borderId="1" xfId="0" applyNumberFormat="1" applyFont="1" applyFill="1" applyBorder="1" applyAlignment="1">
      <alignment horizontal="center"/>
    </xf>
    <xf numFmtId="2" fontId="8" fillId="7" borderId="8" xfId="0" applyNumberFormat="1" applyFont="1" applyFill="1" applyBorder="1" applyAlignment="1">
      <alignment horizontal="center"/>
    </xf>
    <xf numFmtId="2" fontId="8" fillId="7" borderId="17" xfId="0" applyNumberFormat="1" applyFont="1" applyFill="1" applyBorder="1" applyAlignment="1">
      <alignment horizontal="center"/>
    </xf>
    <xf numFmtId="2" fontId="8" fillId="7" borderId="9" xfId="0" applyNumberFormat="1" applyFont="1" applyFill="1" applyBorder="1" applyAlignment="1">
      <alignment horizontal="center"/>
    </xf>
    <xf numFmtId="2" fontId="8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3300"/>
      <color rgb="FF9ABC9C"/>
      <color rgb="FF63A172"/>
      <color rgb="FFE6B846"/>
      <color rgb="FFA29962"/>
      <color rgb="FFB98A4B"/>
      <color rgb="FF85A79C"/>
      <color rgb="FFD3A32B"/>
      <color rgb="FFDB9E23"/>
      <color rgb="FF78B4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630114</xdr:colOff>
      <xdr:row>0</xdr:row>
      <xdr:rowOff>0</xdr:rowOff>
    </xdr:from>
    <xdr:to>
      <xdr:col>26</xdr:col>
      <xdr:colOff>258639</xdr:colOff>
      <xdr:row>30</xdr:row>
      <xdr:rowOff>134974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F956C3D-10CE-41C0-989A-A7FD31441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268" y="0"/>
          <a:ext cx="5724525" cy="587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25"/>
  <sheetViews>
    <sheetView tabSelected="1" topLeftCell="A3" zoomScale="115" zoomScaleNormal="115" workbookViewId="0">
      <selection activeCell="P20" sqref="P20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6.85546875" customWidth="1"/>
    <col min="4" max="4" width="6.28515625" customWidth="1"/>
    <col min="5" max="5" width="7.42578125" customWidth="1"/>
    <col min="6" max="6" width="7.5703125" customWidth="1"/>
    <col min="7" max="7" width="10.5703125" customWidth="1"/>
    <col min="8" max="8" width="5.7109375" customWidth="1"/>
    <col min="9" max="9" width="9.42578125" customWidth="1"/>
    <col min="10" max="10" width="6.140625" customWidth="1"/>
    <col min="11" max="11" width="5.5703125" customWidth="1"/>
    <col min="12" max="12" width="6" customWidth="1"/>
    <col min="13" max="13" width="6.7109375" customWidth="1"/>
    <col min="14" max="14" width="7.7109375" bestFit="1" customWidth="1"/>
    <col min="15" max="15" width="8.42578125" hidden="1" customWidth="1"/>
    <col min="16" max="16" width="8.140625" customWidth="1"/>
    <col min="17" max="17" width="13.85546875" customWidth="1"/>
    <col min="18" max="18" width="2.5703125" customWidth="1"/>
  </cols>
  <sheetData>
    <row r="2" spans="1:19" x14ac:dyDescent="0.25">
      <c r="A2" s="45" t="s">
        <v>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</row>
    <row r="3" spans="1:19" x14ac:dyDescent="0.25">
      <c r="A3" s="48" t="s">
        <v>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9" ht="9.75" customHeight="1" x14ac:dyDescent="0.3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</row>
    <row r="5" spans="1:19" x14ac:dyDescent="0.25">
      <c r="A5" s="52" t="s">
        <v>6</v>
      </c>
      <c r="B5" s="52"/>
      <c r="C5" s="53" t="s">
        <v>32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 spans="1:19" ht="24" customHeight="1" x14ac:dyDescent="0.25">
      <c r="A6" s="52" t="s">
        <v>7</v>
      </c>
      <c r="B6" s="52"/>
      <c r="C6" s="54" t="s">
        <v>39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1:19" ht="15" customHeight="1" x14ac:dyDescent="0.25">
      <c r="A7" s="58" t="s">
        <v>8</v>
      </c>
      <c r="B7" s="58"/>
      <c r="C7" s="34">
        <v>46112</v>
      </c>
      <c r="D7" s="35"/>
      <c r="E7" s="35"/>
      <c r="F7" s="36" t="s">
        <v>22</v>
      </c>
      <c r="G7" s="36"/>
      <c r="H7" s="10">
        <v>63.5</v>
      </c>
      <c r="I7" s="11" t="s">
        <v>11</v>
      </c>
      <c r="J7" s="37" t="s">
        <v>16</v>
      </c>
      <c r="K7" s="37"/>
      <c r="L7" s="38" t="s">
        <v>13</v>
      </c>
      <c r="M7" s="39"/>
      <c r="N7" s="55" t="s">
        <v>18</v>
      </c>
      <c r="O7" s="56"/>
      <c r="P7" s="56"/>
      <c r="Q7" s="57"/>
    </row>
    <row r="8" spans="1:19" ht="15" customHeight="1" x14ac:dyDescent="0.25">
      <c r="A8" s="58" t="s">
        <v>14</v>
      </c>
      <c r="B8" s="58"/>
      <c r="C8" s="42" t="s">
        <v>21</v>
      </c>
      <c r="D8" s="43"/>
      <c r="E8" s="44"/>
      <c r="F8" s="36" t="s">
        <v>23</v>
      </c>
      <c r="G8" s="36"/>
      <c r="H8" s="10">
        <v>0.76</v>
      </c>
      <c r="I8" s="4" t="s">
        <v>31</v>
      </c>
      <c r="J8" s="37"/>
      <c r="K8" s="37"/>
      <c r="L8" s="40"/>
      <c r="M8" s="41"/>
      <c r="N8" s="55" t="s">
        <v>20</v>
      </c>
      <c r="O8" s="56"/>
      <c r="P8" s="56"/>
      <c r="Q8" s="57"/>
    </row>
    <row r="9" spans="1:19" x14ac:dyDescent="0.25">
      <c r="A9" s="5" t="s">
        <v>0</v>
      </c>
      <c r="B9" s="8" t="s">
        <v>25</v>
      </c>
      <c r="C9" s="8" t="s">
        <v>26</v>
      </c>
      <c r="D9" s="7" t="s">
        <v>27</v>
      </c>
      <c r="E9" s="8" t="s">
        <v>28</v>
      </c>
      <c r="F9" s="5" t="s">
        <v>1</v>
      </c>
      <c r="G9" s="5" t="s">
        <v>2</v>
      </c>
      <c r="H9" s="5" t="s">
        <v>10</v>
      </c>
      <c r="I9" s="5" t="s">
        <v>12</v>
      </c>
      <c r="J9" s="5" t="s">
        <v>19</v>
      </c>
      <c r="K9" s="5" t="s">
        <v>9</v>
      </c>
      <c r="L9" s="8" t="s">
        <v>17</v>
      </c>
      <c r="M9" s="8" t="s">
        <v>29</v>
      </c>
      <c r="N9" s="8" t="s">
        <v>24</v>
      </c>
      <c r="O9" s="6" t="s">
        <v>30</v>
      </c>
      <c r="P9" s="8" t="s">
        <v>15</v>
      </c>
      <c r="Q9" s="8" t="s">
        <v>3</v>
      </c>
    </row>
    <row r="10" spans="1:19" ht="20.25" customHeight="1" x14ac:dyDescent="0.25">
      <c r="A10" s="14">
        <v>0.45</v>
      </c>
      <c r="B10" s="65">
        <v>15</v>
      </c>
      <c r="C10" s="14">
        <f>B10*A10</f>
        <v>6.75</v>
      </c>
      <c r="D10" s="14">
        <f t="shared" ref="D10:D16" si="0">IF(A10&lt;=$I$8,(0),10*(A10-$I$8))</f>
        <v>0</v>
      </c>
      <c r="E10" s="14">
        <f t="shared" ref="E10:E16" si="1">C10-D10</f>
        <v>6.75</v>
      </c>
      <c r="F10" s="60">
        <v>7</v>
      </c>
      <c r="G10" s="16">
        <f>F10*J10</f>
        <v>13.298758381816222</v>
      </c>
      <c r="H10" s="14">
        <f t="shared" ref="H10:H16" si="2">E10/100</f>
        <v>6.7500000000000004E-2</v>
      </c>
      <c r="I10" s="14">
        <f>IF(H10&lt;1,(1.41),(0.92))</f>
        <v>1.41</v>
      </c>
      <c r="J10" s="15">
        <f>LOG10(20/H10)/LOG10(20)</f>
        <v>1.8998226259737461</v>
      </c>
      <c r="K10" s="16">
        <f t="shared" ref="K10:K16" si="3">G10*(42/45)</f>
        <v>12.412174489695142</v>
      </c>
      <c r="L10" s="16">
        <f t="shared" ref="L10:L16" si="4">(15+(POWER((12.5*K10),0.5)))</f>
        <v>27.456009839478661</v>
      </c>
      <c r="M10" s="17">
        <f t="shared" ref="M10:M16" si="5">E10*TAN(L10*PI()/180)</f>
        <v>3.507243355337295</v>
      </c>
      <c r="N10" s="17">
        <f t="shared" ref="N10" si="6">0.3*(K10*45/55+6)</f>
        <v>4.8466246474706258</v>
      </c>
      <c r="O10" s="31">
        <v>5</v>
      </c>
      <c r="P10" s="18">
        <f>L10</f>
        <v>27.456009839478661</v>
      </c>
      <c r="Q10" s="69" t="s">
        <v>37</v>
      </c>
    </row>
    <row r="11" spans="1:19" ht="15" customHeight="1" thickBot="1" x14ac:dyDescent="0.3">
      <c r="A11" s="14">
        <v>1.45</v>
      </c>
      <c r="B11" s="65">
        <v>16</v>
      </c>
      <c r="C11" s="14">
        <f>B11*A11</f>
        <v>23.2</v>
      </c>
      <c r="D11" s="14">
        <f t="shared" si="0"/>
        <v>0</v>
      </c>
      <c r="E11" s="14">
        <f t="shared" si="1"/>
        <v>23.2</v>
      </c>
      <c r="F11" s="61">
        <v>8.3333333333333339</v>
      </c>
      <c r="G11" s="16">
        <f t="shared" ref="G11:G16" si="7">F11*J11</f>
        <v>12.397497990206324</v>
      </c>
      <c r="H11" s="14">
        <f t="shared" si="2"/>
        <v>0.23199999999999998</v>
      </c>
      <c r="I11" s="14">
        <f t="shared" ref="I11:I16" si="8">IF(H11&lt;1,(1.41),(0.92))</f>
        <v>1.41</v>
      </c>
      <c r="J11" s="15">
        <f t="shared" ref="J11:J16" si="9">LOG10(20/H11)/LOG10(20)</f>
        <v>1.4876997588247587</v>
      </c>
      <c r="K11" s="16">
        <f t="shared" si="3"/>
        <v>11.570998124192569</v>
      </c>
      <c r="L11" s="16">
        <f t="shared" si="4"/>
        <v>27.026532191467624</v>
      </c>
      <c r="M11" s="17">
        <f t="shared" si="5"/>
        <v>11.834526081546379</v>
      </c>
      <c r="N11" s="17">
        <f>0.32*(K11*45/55+15)</f>
        <v>7.8294976906976901</v>
      </c>
      <c r="O11" s="59">
        <v>5</v>
      </c>
      <c r="P11" s="13">
        <f t="shared" ref="P11:P16" si="10">L11</f>
        <v>27.026532191467624</v>
      </c>
      <c r="Q11" s="69" t="s">
        <v>40</v>
      </c>
    </row>
    <row r="12" spans="1:19" ht="14.45" customHeight="1" thickBot="1" x14ac:dyDescent="0.3">
      <c r="A12" s="25">
        <v>2.4500000000000002</v>
      </c>
      <c r="B12" s="66">
        <v>17</v>
      </c>
      <c r="C12" s="26">
        <f t="shared" ref="C12:C16" si="11">(A12-A11)*B12+C11</f>
        <v>40.200000000000003</v>
      </c>
      <c r="D12" s="26">
        <f t="shared" si="0"/>
        <v>0</v>
      </c>
      <c r="E12" s="26">
        <f t="shared" si="1"/>
        <v>40.200000000000003</v>
      </c>
      <c r="F12" s="62">
        <v>15</v>
      </c>
      <c r="G12" s="27">
        <f t="shared" si="7"/>
        <v>19.563007173945437</v>
      </c>
      <c r="H12" s="26">
        <f t="shared" si="2"/>
        <v>0.40200000000000002</v>
      </c>
      <c r="I12" s="26">
        <f t="shared" si="8"/>
        <v>1.41</v>
      </c>
      <c r="J12" s="28">
        <f t="shared" si="9"/>
        <v>1.3042004782630292</v>
      </c>
      <c r="K12" s="27">
        <f t="shared" si="3"/>
        <v>18.258806695682409</v>
      </c>
      <c r="L12" s="27">
        <f t="shared" si="4"/>
        <v>30.107451264062718</v>
      </c>
      <c r="M12" s="29">
        <f t="shared" si="5"/>
        <v>23.31011017504968</v>
      </c>
      <c r="N12" s="30">
        <f t="shared" ref="N12:N16" si="12">0.32*(K12*45/55+15)</f>
        <v>9.5804875712332134</v>
      </c>
      <c r="O12" s="59"/>
      <c r="P12" s="13">
        <f t="shared" si="10"/>
        <v>30.107451264062718</v>
      </c>
      <c r="Q12" s="70" t="s">
        <v>38</v>
      </c>
    </row>
    <row r="13" spans="1:19" ht="15" customHeight="1" x14ac:dyDescent="0.25">
      <c r="A13" s="21">
        <v>3.45</v>
      </c>
      <c r="B13" s="67">
        <v>17</v>
      </c>
      <c r="C13" s="21">
        <f t="shared" si="11"/>
        <v>57.2</v>
      </c>
      <c r="D13" s="21">
        <f t="shared" si="0"/>
        <v>0</v>
      </c>
      <c r="E13" s="21">
        <f t="shared" si="1"/>
        <v>57.2</v>
      </c>
      <c r="F13" s="63">
        <v>19.3333333333333</v>
      </c>
      <c r="G13" s="22">
        <f t="shared" si="7"/>
        <v>22.938433491643742</v>
      </c>
      <c r="H13" s="21">
        <f t="shared" si="2"/>
        <v>0.57200000000000006</v>
      </c>
      <c r="I13" s="21">
        <f t="shared" si="8"/>
        <v>1.41</v>
      </c>
      <c r="J13" s="23">
        <f t="shared" si="9"/>
        <v>1.1864706978436439</v>
      </c>
      <c r="K13" s="22">
        <f t="shared" si="3"/>
        <v>21.409204592200826</v>
      </c>
      <c r="L13" s="22">
        <f t="shared" si="4"/>
        <v>31.358944263078541</v>
      </c>
      <c r="M13" s="24">
        <f t="shared" si="5"/>
        <v>34.858795159337632</v>
      </c>
      <c r="N13" s="24">
        <f t="shared" si="12"/>
        <v>10.405319020503489</v>
      </c>
      <c r="O13" s="59"/>
      <c r="P13" s="13">
        <f t="shared" si="10"/>
        <v>31.358944263078541</v>
      </c>
      <c r="Q13" s="71"/>
    </row>
    <row r="14" spans="1:19" ht="15" customHeight="1" x14ac:dyDescent="0.25">
      <c r="A14" s="1">
        <v>4.45</v>
      </c>
      <c r="B14" s="68">
        <v>17</v>
      </c>
      <c r="C14" s="1">
        <f t="shared" si="11"/>
        <v>74.2</v>
      </c>
      <c r="D14" s="1">
        <f t="shared" si="0"/>
        <v>0</v>
      </c>
      <c r="E14" s="1">
        <f t="shared" si="1"/>
        <v>74.2</v>
      </c>
      <c r="F14" s="64">
        <v>22.666666666666668</v>
      </c>
      <c r="G14" s="2">
        <f t="shared" si="7"/>
        <v>24.924501989550897</v>
      </c>
      <c r="H14" s="1">
        <f t="shared" si="2"/>
        <v>0.74199999999999999</v>
      </c>
      <c r="I14" s="1">
        <f t="shared" si="8"/>
        <v>1.41</v>
      </c>
      <c r="J14" s="3">
        <f t="shared" si="9"/>
        <v>1.0996103818919514</v>
      </c>
      <c r="K14" s="2">
        <f t="shared" si="3"/>
        <v>23.262868523580838</v>
      </c>
      <c r="L14" s="2">
        <f t="shared" si="4"/>
        <v>32.052444298245355</v>
      </c>
      <c r="M14" s="9">
        <f t="shared" si="5"/>
        <v>46.459796200262275</v>
      </c>
      <c r="N14" s="9">
        <f t="shared" si="12"/>
        <v>10.890641940719346</v>
      </c>
      <c r="O14" s="59"/>
      <c r="P14" s="13">
        <f t="shared" si="10"/>
        <v>32.052444298245355</v>
      </c>
      <c r="Q14" s="71"/>
      <c r="S14">
        <v>0.217</v>
      </c>
    </row>
    <row r="15" spans="1:19" ht="14.45" customHeight="1" x14ac:dyDescent="0.25">
      <c r="A15" s="1">
        <v>5.45</v>
      </c>
      <c r="B15" s="68">
        <v>17</v>
      </c>
      <c r="C15" s="1">
        <f t="shared" si="11"/>
        <v>91.2</v>
      </c>
      <c r="D15" s="1">
        <f t="shared" si="0"/>
        <v>0</v>
      </c>
      <c r="E15" s="1">
        <f t="shared" si="1"/>
        <v>91.2</v>
      </c>
      <c r="F15" s="64">
        <v>26</v>
      </c>
      <c r="G15" s="2">
        <f t="shared" si="7"/>
        <v>26.799469810017978</v>
      </c>
      <c r="H15" s="12">
        <f t="shared" si="2"/>
        <v>0.91200000000000003</v>
      </c>
      <c r="I15" s="1">
        <f t="shared" si="8"/>
        <v>1.41</v>
      </c>
      <c r="J15" s="3">
        <f t="shared" si="9"/>
        <v>1.0307488388468453</v>
      </c>
      <c r="K15" s="2">
        <f t="shared" si="3"/>
        <v>25.012838489350113</v>
      </c>
      <c r="L15" s="2">
        <f t="shared" si="4"/>
        <v>32.682208038502324</v>
      </c>
      <c r="M15" s="9">
        <f t="shared" si="5"/>
        <v>58.509375063166999</v>
      </c>
      <c r="N15" s="9">
        <f t="shared" si="12"/>
        <v>11.348815895393484</v>
      </c>
      <c r="O15" s="59"/>
      <c r="P15" s="13">
        <f t="shared" si="10"/>
        <v>32.682208038502324</v>
      </c>
      <c r="Q15" s="71"/>
    </row>
    <row r="16" spans="1:19" x14ac:dyDescent="0.25">
      <c r="A16" s="1">
        <v>6.45</v>
      </c>
      <c r="B16" s="68">
        <v>17</v>
      </c>
      <c r="C16" s="1">
        <f t="shared" si="11"/>
        <v>108.2</v>
      </c>
      <c r="D16" s="1">
        <f t="shared" si="0"/>
        <v>0</v>
      </c>
      <c r="E16" s="1">
        <f t="shared" si="1"/>
        <v>108.2</v>
      </c>
      <c r="F16" s="64">
        <v>29.333333333333332</v>
      </c>
      <c r="G16" s="2">
        <f t="shared" si="7"/>
        <v>28.561637328924842</v>
      </c>
      <c r="H16" s="12">
        <f t="shared" si="2"/>
        <v>1.0820000000000001</v>
      </c>
      <c r="I16" s="1">
        <f t="shared" si="8"/>
        <v>0.92</v>
      </c>
      <c r="J16" s="3">
        <f t="shared" si="9"/>
        <v>0.9736921816678924</v>
      </c>
      <c r="K16" s="2">
        <f t="shared" si="3"/>
        <v>26.657528173663188</v>
      </c>
      <c r="L16" s="2">
        <f t="shared" si="4"/>
        <v>33.254289966218622</v>
      </c>
      <c r="M16" s="9">
        <f t="shared" si="5"/>
        <v>70.950612793917188</v>
      </c>
      <c r="N16" s="9">
        <f t="shared" si="12"/>
        <v>11.779425558195454</v>
      </c>
      <c r="O16" s="59"/>
      <c r="P16" s="13">
        <f t="shared" si="10"/>
        <v>33.254289966218622</v>
      </c>
      <c r="Q16" s="72"/>
    </row>
    <row r="17" spans="1:14" x14ac:dyDescent="0.25">
      <c r="A17" s="19"/>
    </row>
    <row r="18" spans="1:14" x14ac:dyDescent="0.25">
      <c r="A18" s="33" t="s">
        <v>33</v>
      </c>
      <c r="B18" s="33"/>
      <c r="N18" s="73"/>
    </row>
    <row r="19" spans="1:14" x14ac:dyDescent="0.25">
      <c r="A19" s="32"/>
      <c r="B19" s="32"/>
    </row>
    <row r="20" spans="1:14" x14ac:dyDescent="0.25">
      <c r="A20" s="32"/>
      <c r="B20" s="32"/>
    </row>
    <row r="22" spans="1:14" ht="15.75" thickBot="1" x14ac:dyDescent="0.3">
      <c r="A22" s="20"/>
      <c r="B22" s="20"/>
      <c r="C22" s="20"/>
      <c r="D22" s="20"/>
    </row>
    <row r="23" spans="1:14" x14ac:dyDescent="0.25">
      <c r="A23" t="s">
        <v>34</v>
      </c>
    </row>
    <row r="24" spans="1:14" x14ac:dyDescent="0.25">
      <c r="A24" t="s">
        <v>35</v>
      </c>
    </row>
    <row r="25" spans="1:14" x14ac:dyDescent="0.25">
      <c r="A25" t="s">
        <v>36</v>
      </c>
    </row>
  </sheetData>
  <mergeCells count="20">
    <mergeCell ref="Q12:Q16"/>
    <mergeCell ref="A2:Q2"/>
    <mergeCell ref="A3:Q3"/>
    <mergeCell ref="A4:Q4"/>
    <mergeCell ref="A5:B5"/>
    <mergeCell ref="C5:Q5"/>
    <mergeCell ref="A6:B6"/>
    <mergeCell ref="C6:Q6"/>
    <mergeCell ref="N7:Q7"/>
    <mergeCell ref="A8:B8"/>
    <mergeCell ref="F8:G8"/>
    <mergeCell ref="N8:Q8"/>
    <mergeCell ref="A7:B7"/>
    <mergeCell ref="O11:O16"/>
    <mergeCell ref="A18:B18"/>
    <mergeCell ref="C7:E7"/>
    <mergeCell ref="F7:G7"/>
    <mergeCell ref="J7:K8"/>
    <mergeCell ref="L7:M8"/>
    <mergeCell ref="C8:E8"/>
  </mergeCells>
  <pageMargins left="0.51181102362204722" right="0.51181102362204722" top="0.55118110236220474" bottom="0.55118110236220474" header="0.31496062992125984" footer="0.31496062992125984"/>
  <pageSetup orientation="landscape" r:id="rId1"/>
  <headerFooter>
    <oddFooter>&amp;C&amp;"Arial,Normal"&amp;8MEMORIAS DE CÁLCULO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P3</vt:lpstr>
      <vt:lpstr>'P3'!Área_de_impresión</vt:lpstr>
    </vt:vector>
  </TitlesOfParts>
  <Company>Familia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Gomez</dc:creator>
  <cp:lastModifiedBy>Paola Andrea Garcia Tangarife</cp:lastModifiedBy>
  <cp:lastPrinted>2025-10-31T04:57:46Z</cp:lastPrinted>
  <dcterms:created xsi:type="dcterms:W3CDTF">2010-03-28T21:22:08Z</dcterms:created>
  <dcterms:modified xsi:type="dcterms:W3CDTF">2026-05-25T21:47:09Z</dcterms:modified>
</cp:coreProperties>
</file>