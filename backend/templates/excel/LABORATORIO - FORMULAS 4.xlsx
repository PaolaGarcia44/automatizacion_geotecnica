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drawings/drawing12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drawings/drawing13.xml" ContentType="application/vnd.openxmlformats-officedocument.drawingml.chartshapes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SAN PEDRO 11 MAR JUAN CAMILO\"/>
    </mc:Choice>
  </mc:AlternateContent>
  <xr:revisionPtr revIDLastSave="0" documentId="13_ncr:1_{7A0BF4F0-B563-4577-9BFE-7E3098E5D08B}" xr6:coauthVersionLast="47" xr6:coauthVersionMax="47" xr10:uidLastSave="{00000000-0000-0000-0000-000000000000}"/>
  <bookViews>
    <workbookView xWindow="-120" yWindow="-120" windowWidth="20730" windowHeight="11040" tabRatio="833" xr2:uid="{00000000-000D-0000-FFFF-FFFF00000000}"/>
  </bookViews>
  <sheets>
    <sheet name="Clasificacion" sheetId="1" r:id="rId1"/>
    <sheet name="LA TAPA" sheetId="2" r:id="rId2"/>
    <sheet name="CLAVELLINO" sheetId="3" r:id="rId3"/>
    <sheet name="COCOARENAL" sheetId="4" r:id="rId4"/>
    <sheet name="Hoja13" sheetId="14" r:id="rId5"/>
    <sheet name="Hoja1" sheetId="15" r:id="rId6"/>
  </sheets>
  <definedNames>
    <definedName name="_xlnm.Print_Area" localSheetId="0">Clasificacion!$B$2:$N$61</definedName>
    <definedName name="BOVEDA">#REF!</definedName>
    <definedName name="Hoja">#REF!</definedName>
    <definedName name="Libro">#REF!</definedName>
    <definedName name="ruta">#REF!</definedName>
    <definedName name="serie1">"Gráfico 1"</definedName>
    <definedName name="ubicac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1" l="1"/>
  <c r="V26" i="15" l="1"/>
  <c r="E26" i="15"/>
  <c r="D26" i="15"/>
  <c r="C26" i="15"/>
  <c r="V25" i="15"/>
  <c r="M25" i="15"/>
  <c r="L25" i="15"/>
  <c r="K25" i="15"/>
  <c r="Q28" i="15" s="1"/>
  <c r="R28" i="15" s="1"/>
  <c r="F31" i="15" s="1"/>
  <c r="E25" i="15"/>
  <c r="D25" i="15"/>
  <c r="C25" i="15"/>
  <c r="V24" i="15"/>
  <c r="E24" i="15"/>
  <c r="D24" i="15"/>
  <c r="C24" i="15"/>
  <c r="E23" i="15"/>
  <c r="D23" i="15"/>
  <c r="C23" i="15"/>
  <c r="E22" i="15"/>
  <c r="D22" i="15"/>
  <c r="C22" i="15"/>
  <c r="E21" i="15"/>
  <c r="D21" i="15"/>
  <c r="E20" i="15"/>
  <c r="D20" i="15"/>
  <c r="E19" i="15"/>
  <c r="D19" i="15"/>
  <c r="M18" i="15"/>
  <c r="L18" i="15"/>
  <c r="R24" i="15" s="1"/>
  <c r="K18" i="15"/>
  <c r="E18" i="15"/>
  <c r="D18" i="15"/>
  <c r="E17" i="15"/>
  <c r="D17" i="15"/>
  <c r="E16" i="15"/>
  <c r="D16" i="15"/>
  <c r="E15" i="15"/>
  <c r="D15" i="15"/>
  <c r="D14" i="15"/>
  <c r="D13" i="15"/>
  <c r="W10" i="15"/>
  <c r="E13" i="15" s="1"/>
  <c r="V10" i="15"/>
  <c r="V11" i="15" s="1"/>
  <c r="V12" i="15" s="1"/>
  <c r="G10" i="15"/>
  <c r="E10" i="15"/>
  <c r="S5" i="15"/>
  <c r="R5" i="15"/>
  <c r="F25" i="15" l="1"/>
  <c r="F17" i="15"/>
  <c r="F15" i="15"/>
  <c r="F22" i="15"/>
  <c r="F21" i="15"/>
  <c r="F23" i="15"/>
  <c r="R25" i="15"/>
  <c r="Q27" i="15" s="1"/>
  <c r="T12" i="15" s="1"/>
  <c r="T21" i="15" s="1"/>
  <c r="F19" i="15"/>
  <c r="V13" i="15"/>
  <c r="F13" i="15"/>
  <c r="F16" i="15"/>
  <c r="F18" i="15"/>
  <c r="F20" i="15"/>
  <c r="F26" i="15"/>
  <c r="F24" i="15"/>
  <c r="V26" i="14"/>
  <c r="E26" i="14"/>
  <c r="D26" i="14"/>
  <c r="C26" i="14"/>
  <c r="V25" i="14"/>
  <c r="M25" i="14"/>
  <c r="L25" i="14"/>
  <c r="K25" i="14"/>
  <c r="Q28" i="14" s="1"/>
  <c r="R28" i="14" s="1"/>
  <c r="F31" i="14" s="1"/>
  <c r="E25" i="14"/>
  <c r="D25" i="14"/>
  <c r="C25" i="14"/>
  <c r="V24" i="14"/>
  <c r="E24" i="14"/>
  <c r="D24" i="14"/>
  <c r="C24" i="14"/>
  <c r="E23" i="14"/>
  <c r="D23" i="14"/>
  <c r="C23" i="14"/>
  <c r="E22" i="14"/>
  <c r="D22" i="14"/>
  <c r="C22" i="14"/>
  <c r="E21" i="14"/>
  <c r="D21" i="14"/>
  <c r="E20" i="14"/>
  <c r="D20" i="14"/>
  <c r="E19" i="14"/>
  <c r="D19" i="14"/>
  <c r="M18" i="14"/>
  <c r="L18" i="14"/>
  <c r="K18" i="14"/>
  <c r="R24" i="14" s="1"/>
  <c r="E18" i="14"/>
  <c r="D18" i="14"/>
  <c r="E17" i="14"/>
  <c r="D17" i="14"/>
  <c r="E16" i="14"/>
  <c r="D16" i="14"/>
  <c r="E15" i="14"/>
  <c r="D15" i="14"/>
  <c r="D14" i="14"/>
  <c r="D13" i="14"/>
  <c r="W10" i="14"/>
  <c r="E13" i="14" s="1"/>
  <c r="V10" i="14"/>
  <c r="V11" i="14" s="1"/>
  <c r="V12" i="14" s="1"/>
  <c r="G10" i="14"/>
  <c r="E10" i="14"/>
  <c r="F25" i="14" s="1"/>
  <c r="S5" i="14"/>
  <c r="R5" i="14"/>
  <c r="V26" i="4"/>
  <c r="E26" i="4"/>
  <c r="D26" i="4"/>
  <c r="C26" i="4"/>
  <c r="V25" i="4"/>
  <c r="M25" i="4"/>
  <c r="L25" i="4"/>
  <c r="K25" i="4"/>
  <c r="Q28" i="4" s="1"/>
  <c r="R28" i="4" s="1"/>
  <c r="F31" i="4" s="1"/>
  <c r="E25" i="4"/>
  <c r="D25" i="4"/>
  <c r="C25" i="4"/>
  <c r="V24" i="4"/>
  <c r="E24" i="4"/>
  <c r="D24" i="4"/>
  <c r="C24" i="4"/>
  <c r="E23" i="4"/>
  <c r="D23" i="4"/>
  <c r="C23" i="4"/>
  <c r="E22" i="4"/>
  <c r="D22" i="4"/>
  <c r="C22" i="4"/>
  <c r="E21" i="4"/>
  <c r="D21" i="4"/>
  <c r="E20" i="4"/>
  <c r="D20" i="4"/>
  <c r="E19" i="4"/>
  <c r="D19" i="4"/>
  <c r="M18" i="4"/>
  <c r="L18" i="4"/>
  <c r="K18" i="4"/>
  <c r="R24" i="4" s="1"/>
  <c r="E18" i="4"/>
  <c r="D18" i="4"/>
  <c r="E17" i="4"/>
  <c r="D17" i="4"/>
  <c r="E16" i="4"/>
  <c r="D16" i="4"/>
  <c r="E15" i="4"/>
  <c r="D15" i="4"/>
  <c r="D14" i="4"/>
  <c r="D13" i="4"/>
  <c r="W10" i="4"/>
  <c r="E13" i="4" s="1"/>
  <c r="V10" i="4"/>
  <c r="V11" i="4" s="1"/>
  <c r="G10" i="4"/>
  <c r="E10" i="4"/>
  <c r="S5" i="4"/>
  <c r="R5" i="4"/>
  <c r="V26" i="3"/>
  <c r="E26" i="3"/>
  <c r="D26" i="3"/>
  <c r="C26" i="3"/>
  <c r="V25" i="3"/>
  <c r="M25" i="3"/>
  <c r="L25" i="3"/>
  <c r="K25" i="3"/>
  <c r="Q28" i="3" s="1"/>
  <c r="R28" i="3" s="1"/>
  <c r="F31" i="3" s="1"/>
  <c r="E25" i="3"/>
  <c r="D25" i="3"/>
  <c r="C25" i="3"/>
  <c r="V24" i="3"/>
  <c r="E24" i="3"/>
  <c r="D24" i="3"/>
  <c r="C24" i="3"/>
  <c r="E23" i="3"/>
  <c r="D23" i="3"/>
  <c r="C23" i="3"/>
  <c r="E22" i="3"/>
  <c r="D22" i="3"/>
  <c r="C22" i="3"/>
  <c r="E21" i="3"/>
  <c r="D21" i="3"/>
  <c r="E20" i="3"/>
  <c r="D20" i="3"/>
  <c r="E19" i="3"/>
  <c r="D19" i="3"/>
  <c r="M18" i="3"/>
  <c r="L18" i="3"/>
  <c r="K18" i="3"/>
  <c r="R24" i="3" s="1"/>
  <c r="E18" i="3"/>
  <c r="D18" i="3"/>
  <c r="E17" i="3"/>
  <c r="D17" i="3"/>
  <c r="E16" i="3"/>
  <c r="D16" i="3"/>
  <c r="E15" i="3"/>
  <c r="D15" i="3"/>
  <c r="D14" i="3"/>
  <c r="D13" i="3"/>
  <c r="W10" i="3"/>
  <c r="E13" i="3" s="1"/>
  <c r="V10" i="3"/>
  <c r="V11" i="3" s="1"/>
  <c r="G10" i="3"/>
  <c r="E10" i="3"/>
  <c r="S5" i="3"/>
  <c r="R5" i="3"/>
  <c r="E26" i="2"/>
  <c r="D26" i="2"/>
  <c r="C26" i="2"/>
  <c r="M25" i="2"/>
  <c r="L25" i="2"/>
  <c r="K25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E20" i="2"/>
  <c r="D20" i="2"/>
  <c r="E19" i="2"/>
  <c r="D19" i="2"/>
  <c r="M18" i="2"/>
  <c r="L18" i="2"/>
  <c r="K18" i="2"/>
  <c r="R24" i="2" s="1"/>
  <c r="E18" i="2"/>
  <c r="D18" i="2"/>
  <c r="E17" i="2"/>
  <c r="D17" i="2"/>
  <c r="E16" i="2"/>
  <c r="D16" i="2"/>
  <c r="E15" i="2"/>
  <c r="D15" i="2"/>
  <c r="D14" i="2"/>
  <c r="D13" i="2"/>
  <c r="W10" i="2"/>
  <c r="E13" i="2" s="1"/>
  <c r="V10" i="2"/>
  <c r="V11" i="2" s="1"/>
  <c r="G10" i="2"/>
  <c r="E10" i="2"/>
  <c r="S5" i="2"/>
  <c r="R5" i="2"/>
  <c r="F25" i="4" l="1"/>
  <c r="R27" i="15"/>
  <c r="T17" i="15" s="1"/>
  <c r="T14" i="15"/>
  <c r="F25" i="3"/>
  <c r="F30" i="15"/>
  <c r="F27" i="15"/>
  <c r="G13" i="15"/>
  <c r="V14" i="15"/>
  <c r="F13" i="14"/>
  <c r="V13" i="14"/>
  <c r="F16" i="14"/>
  <c r="F18" i="14"/>
  <c r="F20" i="14"/>
  <c r="R25" i="14"/>
  <c r="Q27" i="14" s="1"/>
  <c r="F26" i="14"/>
  <c r="F15" i="14"/>
  <c r="F17" i="14"/>
  <c r="F19" i="14"/>
  <c r="F21" i="14"/>
  <c r="F22" i="14"/>
  <c r="F23" i="14"/>
  <c r="F24" i="14"/>
  <c r="V12" i="4"/>
  <c r="F16" i="4"/>
  <c r="F18" i="4"/>
  <c r="F20" i="4"/>
  <c r="R25" i="4"/>
  <c r="Q27" i="4" s="1"/>
  <c r="F26" i="4"/>
  <c r="F13" i="4"/>
  <c r="F15" i="4"/>
  <c r="F17" i="4"/>
  <c r="F19" i="4"/>
  <c r="F21" i="4"/>
  <c r="F22" i="4"/>
  <c r="F23" i="4"/>
  <c r="F24" i="4"/>
  <c r="V12" i="3"/>
  <c r="F16" i="3"/>
  <c r="F18" i="3"/>
  <c r="F20" i="3"/>
  <c r="R25" i="3"/>
  <c r="Q27" i="3" s="1"/>
  <c r="F26" i="3"/>
  <c r="F13" i="3"/>
  <c r="F15" i="3"/>
  <c r="F17" i="3"/>
  <c r="F19" i="3"/>
  <c r="F21" i="3"/>
  <c r="F22" i="3"/>
  <c r="F23" i="3"/>
  <c r="F24" i="3"/>
  <c r="Q28" i="2"/>
  <c r="R28" i="2" s="1"/>
  <c r="F31" i="2" s="1"/>
  <c r="F25" i="2"/>
  <c r="F24" i="2"/>
  <c r="F23" i="2"/>
  <c r="F22" i="2"/>
  <c r="F21" i="2"/>
  <c r="F19" i="2"/>
  <c r="F17" i="2"/>
  <c r="F15" i="2"/>
  <c r="F13" i="2"/>
  <c r="F20" i="2"/>
  <c r="F18" i="2"/>
  <c r="F26" i="2"/>
  <c r="F16" i="2"/>
  <c r="V12" i="2"/>
  <c r="R25" i="2"/>
  <c r="Q27" i="2" s="1"/>
  <c r="V26" i="1"/>
  <c r="E26" i="1"/>
  <c r="D26" i="1"/>
  <c r="C26" i="1"/>
  <c r="V25" i="1"/>
  <c r="L25" i="1"/>
  <c r="K25" i="1"/>
  <c r="E25" i="1"/>
  <c r="D25" i="1"/>
  <c r="C25" i="1"/>
  <c r="V24" i="1"/>
  <c r="E24" i="1"/>
  <c r="D24" i="1"/>
  <c r="C24" i="1"/>
  <c r="E23" i="1"/>
  <c r="D23" i="1"/>
  <c r="C23" i="1"/>
  <c r="E22" i="1"/>
  <c r="D22" i="1"/>
  <c r="C22" i="1"/>
  <c r="E21" i="1"/>
  <c r="D21" i="1"/>
  <c r="E20" i="1"/>
  <c r="D20" i="1"/>
  <c r="E19" i="1"/>
  <c r="D19" i="1"/>
  <c r="M18" i="1"/>
  <c r="L18" i="1"/>
  <c r="K18" i="1"/>
  <c r="E18" i="1"/>
  <c r="D18" i="1"/>
  <c r="E17" i="1"/>
  <c r="D17" i="1"/>
  <c r="E16" i="1"/>
  <c r="D16" i="1"/>
  <c r="E15" i="1"/>
  <c r="D15" i="1"/>
  <c r="D14" i="1"/>
  <c r="D13" i="1"/>
  <c r="W10" i="1"/>
  <c r="E13" i="1" s="1"/>
  <c r="V10" i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G10" i="1"/>
  <c r="S5" i="1"/>
  <c r="R5" i="1"/>
  <c r="E10" i="1"/>
  <c r="F32" i="15" l="1"/>
  <c r="T13" i="15" s="1"/>
  <c r="T22" i="15" s="1"/>
  <c r="Q28" i="1"/>
  <c r="R28" i="1" s="1"/>
  <c r="F31" i="1" s="1"/>
  <c r="V15" i="15"/>
  <c r="X10" i="15"/>
  <c r="R27" i="14"/>
  <c r="T14" i="14"/>
  <c r="T12" i="14"/>
  <c r="T21" i="14" s="1"/>
  <c r="V14" i="14"/>
  <c r="F27" i="14"/>
  <c r="G13" i="14"/>
  <c r="R27" i="4"/>
  <c r="T14" i="4"/>
  <c r="T12" i="4"/>
  <c r="T21" i="4" s="1"/>
  <c r="F27" i="4"/>
  <c r="G13" i="4"/>
  <c r="V13" i="4"/>
  <c r="R27" i="3"/>
  <c r="T14" i="3"/>
  <c r="T12" i="3"/>
  <c r="T21" i="3" s="1"/>
  <c r="F27" i="3"/>
  <c r="G13" i="3"/>
  <c r="V13" i="3"/>
  <c r="R27" i="2"/>
  <c r="T14" i="2"/>
  <c r="T12" i="2"/>
  <c r="T21" i="2" s="1"/>
  <c r="V13" i="2"/>
  <c r="G13" i="2"/>
  <c r="R25" i="1"/>
  <c r="R24" i="1"/>
  <c r="F26" i="1"/>
  <c r="F15" i="1"/>
  <c r="F23" i="1"/>
  <c r="F17" i="1"/>
  <c r="F20" i="1"/>
  <c r="F18" i="1"/>
  <c r="F22" i="1"/>
  <c r="F16" i="1"/>
  <c r="F19" i="1"/>
  <c r="F24" i="1"/>
  <c r="F25" i="1"/>
  <c r="F13" i="1"/>
  <c r="F21" i="1"/>
  <c r="Q27" i="1" l="1"/>
  <c r="F32" i="1" s="1"/>
  <c r="P10" i="15"/>
  <c r="W11" i="15"/>
  <c r="E14" i="15" s="1"/>
  <c r="V16" i="15"/>
  <c r="V15" i="14"/>
  <c r="X10" i="14"/>
  <c r="F32" i="14"/>
  <c r="T13" i="14" s="1"/>
  <c r="T22" i="14" s="1"/>
  <c r="F30" i="14"/>
  <c r="T17" i="14"/>
  <c r="V14" i="4"/>
  <c r="X10" i="4"/>
  <c r="F32" i="4"/>
  <c r="T13" i="4" s="1"/>
  <c r="T22" i="4" s="1"/>
  <c r="F30" i="4"/>
  <c r="T17" i="4"/>
  <c r="V14" i="3"/>
  <c r="X10" i="3"/>
  <c r="F32" i="3"/>
  <c r="T13" i="3" s="1"/>
  <c r="T22" i="3" s="1"/>
  <c r="F30" i="3"/>
  <c r="T17" i="3"/>
  <c r="X10" i="2"/>
  <c r="V14" i="2"/>
  <c r="F32" i="2"/>
  <c r="T13" i="2" s="1"/>
  <c r="T22" i="2" s="1"/>
  <c r="F30" i="2"/>
  <c r="T17" i="2"/>
  <c r="G13" i="1"/>
  <c r="R27" i="1" l="1"/>
  <c r="T17" i="1" s="1"/>
  <c r="T13" i="1"/>
  <c r="T22" i="1" s="1"/>
  <c r="T14" i="1"/>
  <c r="T12" i="1"/>
  <c r="T21" i="1" s="1"/>
  <c r="V17" i="15"/>
  <c r="E28" i="15"/>
  <c r="E27" i="15"/>
  <c r="F14" i="15"/>
  <c r="G14" i="15" s="1"/>
  <c r="P10" i="14"/>
  <c r="W11" i="14"/>
  <c r="E14" i="14" s="1"/>
  <c r="V16" i="14"/>
  <c r="P10" i="4"/>
  <c r="W11" i="4"/>
  <c r="E14" i="4" s="1"/>
  <c r="V15" i="4"/>
  <c r="P10" i="3"/>
  <c r="W11" i="3"/>
  <c r="E14" i="3" s="1"/>
  <c r="V15" i="3"/>
  <c r="V15" i="2"/>
  <c r="P10" i="2"/>
  <c r="W11" i="2"/>
  <c r="E14" i="2" s="1"/>
  <c r="X10" i="1"/>
  <c r="F30" i="1" l="1"/>
  <c r="X11" i="15"/>
  <c r="G15" i="15"/>
  <c r="V18" i="15"/>
  <c r="V17" i="14"/>
  <c r="E28" i="14"/>
  <c r="F14" i="14"/>
  <c r="G14" i="14" s="1"/>
  <c r="E27" i="14"/>
  <c r="V16" i="4"/>
  <c r="F14" i="4"/>
  <c r="G14" i="4" s="1"/>
  <c r="E28" i="4"/>
  <c r="E27" i="4"/>
  <c r="V16" i="3"/>
  <c r="E27" i="3"/>
  <c r="E28" i="3"/>
  <c r="F14" i="3"/>
  <c r="G14" i="3" s="1"/>
  <c r="F14" i="2"/>
  <c r="E27" i="2"/>
  <c r="E28" i="2" s="1"/>
  <c r="V16" i="2"/>
  <c r="W11" i="1"/>
  <c r="E14" i="1" s="1"/>
  <c r="P10" i="1"/>
  <c r="G16" i="15" l="1"/>
  <c r="X12" i="15"/>
  <c r="V19" i="15"/>
  <c r="P11" i="15"/>
  <c r="W12" i="15"/>
  <c r="X11" i="14"/>
  <c r="G15" i="14"/>
  <c r="V18" i="14"/>
  <c r="X11" i="4"/>
  <c r="G15" i="4"/>
  <c r="V17" i="4"/>
  <c r="X11" i="3"/>
  <c r="G15" i="3"/>
  <c r="V17" i="3"/>
  <c r="V17" i="2"/>
  <c r="F27" i="2"/>
  <c r="G14" i="2"/>
  <c r="E27" i="1"/>
  <c r="E28" i="1" s="1"/>
  <c r="F14" i="1"/>
  <c r="F27" i="1" s="1"/>
  <c r="P12" i="15" l="1"/>
  <c r="W13" i="15"/>
  <c r="V20" i="15"/>
  <c r="X13" i="15"/>
  <c r="G17" i="15"/>
  <c r="G16" i="14"/>
  <c r="X12" i="14"/>
  <c r="V19" i="14"/>
  <c r="P11" i="14"/>
  <c r="W12" i="14"/>
  <c r="V18" i="4"/>
  <c r="G16" i="4"/>
  <c r="X12" i="4"/>
  <c r="P11" i="4"/>
  <c r="W12" i="4"/>
  <c r="V18" i="3"/>
  <c r="G16" i="3"/>
  <c r="X12" i="3"/>
  <c r="P11" i="3"/>
  <c r="W12" i="3"/>
  <c r="X11" i="2"/>
  <c r="G15" i="2"/>
  <c r="V18" i="2"/>
  <c r="G14" i="1"/>
  <c r="G15" i="1" s="1"/>
  <c r="G18" i="15" l="1"/>
  <c r="X14" i="15"/>
  <c r="P13" i="15"/>
  <c r="W14" i="15"/>
  <c r="V21" i="15"/>
  <c r="P12" i="14"/>
  <c r="W13" i="14"/>
  <c r="V20" i="14"/>
  <c r="X13" i="14"/>
  <c r="G17" i="14"/>
  <c r="P12" i="4"/>
  <c r="W13" i="4"/>
  <c r="X13" i="4"/>
  <c r="G17" i="4"/>
  <c r="V19" i="4"/>
  <c r="P12" i="3"/>
  <c r="W13" i="3"/>
  <c r="X13" i="3"/>
  <c r="G17" i="3"/>
  <c r="V19" i="3"/>
  <c r="V19" i="2"/>
  <c r="G16" i="2"/>
  <c r="X12" i="2"/>
  <c r="P11" i="2"/>
  <c r="W12" i="2"/>
  <c r="X11" i="1"/>
  <c r="W12" i="1" s="1"/>
  <c r="X12" i="1"/>
  <c r="G16" i="1"/>
  <c r="V22" i="15" l="1"/>
  <c r="P14" i="15"/>
  <c r="W15" i="15"/>
  <c r="X15" i="15"/>
  <c r="G19" i="15"/>
  <c r="G18" i="14"/>
  <c r="X14" i="14"/>
  <c r="P13" i="14"/>
  <c r="W14" i="14"/>
  <c r="V21" i="14"/>
  <c r="V20" i="4"/>
  <c r="G18" i="4"/>
  <c r="X14" i="4"/>
  <c r="P13" i="4"/>
  <c r="W14" i="4"/>
  <c r="V20" i="3"/>
  <c r="G18" i="3"/>
  <c r="X14" i="3"/>
  <c r="P13" i="3"/>
  <c r="W14" i="3"/>
  <c r="X13" i="2"/>
  <c r="G17" i="2"/>
  <c r="P12" i="2"/>
  <c r="W13" i="2"/>
  <c r="V20" i="2"/>
  <c r="V21" i="2" s="1"/>
  <c r="V22" i="2" s="1"/>
  <c r="V23" i="2" s="1"/>
  <c r="V24" i="2" s="1"/>
  <c r="V25" i="2" s="1"/>
  <c r="V26" i="2" s="1"/>
  <c r="P11" i="1"/>
  <c r="X13" i="1"/>
  <c r="G17" i="1"/>
  <c r="W13" i="1"/>
  <c r="P12" i="1"/>
  <c r="X16" i="15" l="1"/>
  <c r="G20" i="15"/>
  <c r="V23" i="15"/>
  <c r="P15" i="15"/>
  <c r="W16" i="15"/>
  <c r="V22" i="14"/>
  <c r="P14" i="14"/>
  <c r="W15" i="14"/>
  <c r="X15" i="14"/>
  <c r="G19" i="14"/>
  <c r="X15" i="4"/>
  <c r="G19" i="4"/>
  <c r="P14" i="4"/>
  <c r="W15" i="4"/>
  <c r="V21" i="4"/>
  <c r="X15" i="3"/>
  <c r="G19" i="3"/>
  <c r="P14" i="3"/>
  <c r="W15" i="3"/>
  <c r="V21" i="3"/>
  <c r="G18" i="2"/>
  <c r="X14" i="2"/>
  <c r="P13" i="2"/>
  <c r="W14" i="2"/>
  <c r="X14" i="1"/>
  <c r="G18" i="1"/>
  <c r="W14" i="1"/>
  <c r="P13" i="1"/>
  <c r="G21" i="15" l="1"/>
  <c r="X17" i="15"/>
  <c r="P16" i="15"/>
  <c r="W17" i="15"/>
  <c r="G20" i="14"/>
  <c r="X16" i="14"/>
  <c r="P15" i="14"/>
  <c r="W16" i="14"/>
  <c r="V23" i="14"/>
  <c r="G20" i="4"/>
  <c r="X16" i="4"/>
  <c r="V22" i="4"/>
  <c r="P15" i="4"/>
  <c r="W16" i="4"/>
  <c r="V22" i="3"/>
  <c r="G20" i="3"/>
  <c r="X16" i="3"/>
  <c r="P15" i="3"/>
  <c r="W16" i="3"/>
  <c r="P14" i="2"/>
  <c r="W15" i="2"/>
  <c r="X15" i="2"/>
  <c r="G19" i="2"/>
  <c r="G19" i="1"/>
  <c r="X15" i="1"/>
  <c r="P14" i="1"/>
  <c r="W15" i="1"/>
  <c r="P17" i="15" l="1"/>
  <c r="W18" i="15"/>
  <c r="G22" i="15"/>
  <c r="X18" i="15"/>
  <c r="P16" i="14"/>
  <c r="W17" i="14"/>
  <c r="X17" i="14"/>
  <c r="G21" i="14"/>
  <c r="P16" i="4"/>
  <c r="W17" i="4"/>
  <c r="V23" i="4"/>
  <c r="X17" i="4"/>
  <c r="G21" i="4"/>
  <c r="X17" i="3"/>
  <c r="G21" i="3"/>
  <c r="P16" i="3"/>
  <c r="W17" i="3"/>
  <c r="V23" i="3"/>
  <c r="G20" i="2"/>
  <c r="X16" i="2"/>
  <c r="P15" i="2"/>
  <c r="W16" i="2"/>
  <c r="W16" i="1"/>
  <c r="P15" i="1"/>
  <c r="X16" i="1"/>
  <c r="G20" i="1"/>
  <c r="P18" i="15" l="1"/>
  <c r="T15" i="15"/>
  <c r="T16" i="15"/>
  <c r="W19" i="15"/>
  <c r="G23" i="15"/>
  <c r="X19" i="15"/>
  <c r="P17" i="14"/>
  <c r="W18" i="14"/>
  <c r="G22" i="14"/>
  <c r="X18" i="14"/>
  <c r="P17" i="4"/>
  <c r="W18" i="4"/>
  <c r="G22" i="4"/>
  <c r="X18" i="4"/>
  <c r="G22" i="3"/>
  <c r="X18" i="3"/>
  <c r="P17" i="3"/>
  <c r="W18" i="3"/>
  <c r="P16" i="2"/>
  <c r="W17" i="2"/>
  <c r="X17" i="2"/>
  <c r="G21" i="2"/>
  <c r="G21" i="1"/>
  <c r="X17" i="1"/>
  <c r="W17" i="1"/>
  <c r="P16" i="1"/>
  <c r="P19" i="15" l="1"/>
  <c r="W20" i="15"/>
  <c r="G24" i="15"/>
  <c r="X20" i="15"/>
  <c r="X19" i="14"/>
  <c r="G23" i="14"/>
  <c r="P18" i="14"/>
  <c r="T16" i="14"/>
  <c r="T15" i="14"/>
  <c r="W19" i="14"/>
  <c r="P18" i="4"/>
  <c r="T16" i="4"/>
  <c r="T15" i="4"/>
  <c r="W19" i="4"/>
  <c r="X19" i="4"/>
  <c r="G23" i="4"/>
  <c r="X19" i="3"/>
  <c r="G23" i="3"/>
  <c r="P18" i="3"/>
  <c r="T16" i="3"/>
  <c r="T15" i="3"/>
  <c r="W19" i="3"/>
  <c r="P17" i="2"/>
  <c r="W18" i="2"/>
  <c r="X18" i="2"/>
  <c r="G22" i="2"/>
  <c r="W18" i="1"/>
  <c r="P17" i="1"/>
  <c r="X18" i="1"/>
  <c r="G22" i="1"/>
  <c r="X21" i="15" l="1"/>
  <c r="G25" i="15"/>
  <c r="P20" i="15"/>
  <c r="W21" i="15"/>
  <c r="P19" i="14"/>
  <c r="W20" i="14"/>
  <c r="G24" i="14"/>
  <c r="X20" i="14"/>
  <c r="G24" i="4"/>
  <c r="X20" i="4"/>
  <c r="P19" i="4"/>
  <c r="W20" i="4"/>
  <c r="G24" i="3"/>
  <c r="X20" i="3"/>
  <c r="P19" i="3"/>
  <c r="W20" i="3"/>
  <c r="P18" i="2"/>
  <c r="T15" i="2"/>
  <c r="W19" i="2"/>
  <c r="X19" i="2"/>
  <c r="G23" i="2"/>
  <c r="G23" i="1"/>
  <c r="X19" i="1"/>
  <c r="W19" i="1"/>
  <c r="P18" i="1"/>
  <c r="T15" i="1"/>
  <c r="G26" i="15" l="1"/>
  <c r="X23" i="15" s="1"/>
  <c r="X22" i="15"/>
  <c r="P21" i="15"/>
  <c r="W22" i="15"/>
  <c r="X21" i="14"/>
  <c r="G25" i="14"/>
  <c r="P20" i="14"/>
  <c r="W21" i="14"/>
  <c r="P20" i="4"/>
  <c r="W21" i="4"/>
  <c r="X21" i="4"/>
  <c r="G25" i="4"/>
  <c r="P20" i="3"/>
  <c r="W21" i="3"/>
  <c r="X21" i="3"/>
  <c r="G25" i="3"/>
  <c r="P19" i="2"/>
  <c r="W20" i="2"/>
  <c r="G24" i="2"/>
  <c r="X20" i="2"/>
  <c r="P19" i="1"/>
  <c r="W20" i="1"/>
  <c r="G24" i="1"/>
  <c r="X20" i="1"/>
  <c r="T10" i="15" l="1"/>
  <c r="T19" i="15" s="1"/>
  <c r="T11" i="15"/>
  <c r="T20" i="15" s="1"/>
  <c r="P23" i="15"/>
  <c r="P22" i="15"/>
  <c r="W23" i="15"/>
  <c r="T24" i="15"/>
  <c r="I33" i="15" s="1"/>
  <c r="T23" i="15"/>
  <c r="I35" i="15" s="1"/>
  <c r="T25" i="15"/>
  <c r="I31" i="15" s="1"/>
  <c r="P21" i="14"/>
  <c r="W22" i="14"/>
  <c r="G26" i="14"/>
  <c r="X23" i="14" s="1"/>
  <c r="X22" i="14"/>
  <c r="T24" i="14" s="1"/>
  <c r="I33" i="14" s="1"/>
  <c r="P21" i="4"/>
  <c r="W22" i="4"/>
  <c r="G26" i="4"/>
  <c r="X23" i="4" s="1"/>
  <c r="X22" i="4"/>
  <c r="T23" i="4" s="1"/>
  <c r="I35" i="4" s="1"/>
  <c r="G26" i="3"/>
  <c r="X23" i="3" s="1"/>
  <c r="X22" i="3"/>
  <c r="T23" i="3" s="1"/>
  <c r="I35" i="3" s="1"/>
  <c r="P21" i="3"/>
  <c r="W22" i="3"/>
  <c r="X21" i="2"/>
  <c r="G25" i="2"/>
  <c r="P20" i="2"/>
  <c r="W21" i="2"/>
  <c r="W21" i="1"/>
  <c r="P20" i="1"/>
  <c r="G25" i="1"/>
  <c r="G26" i="1" s="1"/>
  <c r="X21" i="1"/>
  <c r="T25" i="3" l="1"/>
  <c r="I31" i="3" s="1"/>
  <c r="I27" i="3" s="1"/>
  <c r="I29" i="15"/>
  <c r="I27" i="15"/>
  <c r="S27" i="15" s="1"/>
  <c r="F33" i="15"/>
  <c r="G31" i="15" s="1"/>
  <c r="P23" i="14"/>
  <c r="T10" i="14"/>
  <c r="T19" i="14" s="1"/>
  <c r="T11" i="14"/>
  <c r="T20" i="14" s="1"/>
  <c r="P22" i="14"/>
  <c r="W23" i="14"/>
  <c r="T23" i="14"/>
  <c r="I35" i="14" s="1"/>
  <c r="T25" i="14"/>
  <c r="I31" i="14" s="1"/>
  <c r="P22" i="4"/>
  <c r="W23" i="4"/>
  <c r="T24" i="4"/>
  <c r="I33" i="4" s="1"/>
  <c r="T25" i="4"/>
  <c r="I31" i="4" s="1"/>
  <c r="I27" i="4" s="1"/>
  <c r="P23" i="4"/>
  <c r="T10" i="4"/>
  <c r="T19" i="4" s="1"/>
  <c r="T11" i="4"/>
  <c r="T20" i="4" s="1"/>
  <c r="P22" i="3"/>
  <c r="W23" i="3"/>
  <c r="T24" i="3"/>
  <c r="I33" i="3" s="1"/>
  <c r="P23" i="3"/>
  <c r="T10" i="3"/>
  <c r="T19" i="3" s="1"/>
  <c r="T11" i="3"/>
  <c r="T20" i="3" s="1"/>
  <c r="G26" i="2"/>
  <c r="X23" i="2" s="1"/>
  <c r="X22" i="2"/>
  <c r="P21" i="2"/>
  <c r="W22" i="2"/>
  <c r="X23" i="1"/>
  <c r="T16" i="1" s="1"/>
  <c r="X22" i="1"/>
  <c r="P21" i="1"/>
  <c r="W22" i="1"/>
  <c r="I29" i="3" l="1"/>
  <c r="T23" i="2"/>
  <c r="I35" i="2" s="1"/>
  <c r="G33" i="15"/>
  <c r="S29" i="15"/>
  <c r="S28" i="15"/>
  <c r="F33" i="14"/>
  <c r="G31" i="14" s="1"/>
  <c r="I29" i="14"/>
  <c r="I27" i="14"/>
  <c r="S27" i="14" s="1"/>
  <c r="I29" i="4"/>
  <c r="S27" i="4" s="1"/>
  <c r="S29" i="4" s="1"/>
  <c r="F33" i="4"/>
  <c r="G31" i="4" s="1"/>
  <c r="S27" i="3"/>
  <c r="F33" i="3"/>
  <c r="G31" i="3" s="1"/>
  <c r="P22" i="2"/>
  <c r="W23" i="2"/>
  <c r="T24" i="2"/>
  <c r="I33" i="2" s="1"/>
  <c r="T25" i="2"/>
  <c r="I31" i="2" s="1"/>
  <c r="P23" i="2"/>
  <c r="T10" i="2"/>
  <c r="T19" i="2" s="1"/>
  <c r="T11" i="2"/>
  <c r="T20" i="2" s="1"/>
  <c r="T16" i="2"/>
  <c r="T25" i="1"/>
  <c r="I31" i="1" s="1"/>
  <c r="P22" i="1"/>
  <c r="W23" i="1"/>
  <c r="T23" i="1"/>
  <c r="I35" i="1" s="1"/>
  <c r="T24" i="1"/>
  <c r="I33" i="1" s="1"/>
  <c r="P23" i="1"/>
  <c r="T10" i="1"/>
  <c r="T19" i="1" s="1"/>
  <c r="T11" i="1"/>
  <c r="T20" i="1" s="1"/>
  <c r="I27" i="2" l="1"/>
  <c r="G33" i="4"/>
  <c r="S28" i="4"/>
  <c r="G33" i="14"/>
  <c r="S29" i="14"/>
  <c r="S28" i="14"/>
  <c r="G33" i="3"/>
  <c r="S29" i="3"/>
  <c r="S28" i="3"/>
  <c r="I29" i="2"/>
  <c r="S27" i="2" s="1"/>
  <c r="F33" i="2"/>
  <c r="G31" i="2" s="1"/>
  <c r="I27" i="1"/>
  <c r="I29" i="1"/>
  <c r="F33" i="1"/>
  <c r="G31" i="1" s="1"/>
  <c r="G33" i="2" l="1"/>
  <c r="S29" i="2"/>
  <c r="S28" i="2"/>
  <c r="S27" i="1"/>
  <c r="G33" i="1" s="1"/>
  <c r="S29" i="1" l="1"/>
  <c r="S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0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0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0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0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0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0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0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0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1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1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1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1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1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1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1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1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2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2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2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2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2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2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2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2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3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3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3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3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3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3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3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3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4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4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4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4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4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4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4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4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MEL170</author>
  </authors>
  <commentList>
    <comment ref="Q4" authorId="0" shapeId="0" xr:uid="{00000000-0006-0000-0500-000001000000}">
      <text>
        <r>
          <rPr>
            <b/>
            <sz val="10"/>
            <color indexed="10"/>
            <rFont val="Tahoma"/>
            <family val="2"/>
          </rPr>
          <t>De aquí para abajo, colocar la fecha, N° de muestra y Peso Inicial.</t>
        </r>
      </text>
    </comment>
    <comment ref="Q10" authorId="0" shapeId="0" xr:uid="{00000000-0006-0000-0500-000002000000}">
      <text>
        <r>
          <rPr>
            <b/>
            <sz val="10"/>
            <color indexed="10"/>
            <rFont val="Tahoma"/>
            <family val="2"/>
          </rPr>
          <t>De aquí para abajo, colocar los pesos retenidos, si no hay retenido  y los peso son acumulados, colocar la malla anterior, si son individuales colocar 0.</t>
        </r>
      </text>
    </comment>
    <comment ref="K14" authorId="0" shapeId="0" xr:uid="{00000000-0006-0000-0500-000003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L14" authorId="0" shapeId="0" xr:uid="{00000000-0006-0000-0500-000004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M14" authorId="0" shapeId="0" xr:uid="{00000000-0006-0000-0500-000005000000}">
      <text>
        <r>
          <rPr>
            <b/>
            <sz val="10"/>
            <color indexed="10"/>
            <rFont val="Tahoma"/>
            <family val="2"/>
          </rPr>
          <t>Si el limite se determina con un solo punto, no colocar nada en esta celda</t>
        </r>
      </text>
    </comment>
    <comment ref="K22" authorId="0" shapeId="0" xr:uid="{00000000-0006-0000-0500-000006000000}">
      <text>
        <r>
          <rPr>
            <b/>
            <sz val="11"/>
            <color indexed="10"/>
            <rFont val="Tahoma"/>
            <family val="2"/>
          </rPr>
          <t>Si el material es NP, no colocar nada en esta celda, si el ensayo es con un solo punto los golpes deben estar entre 20 y 30, Solo colocar los datos solo en esta columna.</t>
        </r>
      </text>
    </comment>
    <comment ref="Q24" authorId="0" shapeId="0" xr:uid="{00000000-0006-0000-0500-000007000000}">
      <text>
        <r>
          <rPr>
            <b/>
            <sz val="10"/>
            <color indexed="81"/>
            <rFont val="Tahoma"/>
            <family val="2"/>
          </rPr>
          <t>Si los pesos de la gradacion son acumulados colocar "</t>
        </r>
        <r>
          <rPr>
            <b/>
            <sz val="10"/>
            <color indexed="10"/>
            <rFont val="Tahoma"/>
            <family val="2"/>
          </rPr>
          <t>A</t>
        </r>
        <r>
          <rPr>
            <b/>
            <sz val="10"/>
            <color indexed="81"/>
            <rFont val="Tahoma"/>
            <family val="2"/>
          </rPr>
          <t>", si es individual colocar "</t>
        </r>
        <r>
          <rPr>
            <b/>
            <sz val="10"/>
            <color indexed="10"/>
            <rFont val="Tahoma"/>
            <family val="2"/>
          </rPr>
          <t>I</t>
        </r>
        <r>
          <rPr>
            <b/>
            <sz val="10"/>
            <color indexed="81"/>
            <rFont val="Tahoma"/>
            <family val="2"/>
          </rPr>
          <t>"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Q25" authorId="0" shapeId="0" xr:uid="{00000000-0006-0000-0500-000008000000}">
      <text>
        <r>
          <rPr>
            <b/>
            <sz val="10"/>
            <color indexed="81"/>
            <rFont val="Tahoma"/>
            <family val="2"/>
          </rPr>
          <t>Si el material tiene olor  colocar "</t>
        </r>
        <r>
          <rPr>
            <b/>
            <sz val="10"/>
            <color indexed="10"/>
            <rFont val="Tahoma"/>
            <family val="2"/>
          </rPr>
          <t>S</t>
        </r>
        <r>
          <rPr>
            <b/>
            <sz val="10"/>
            <color indexed="81"/>
            <rFont val="Tahoma"/>
            <family val="2"/>
          </rPr>
          <t>",</t>
        </r>
      </text>
    </comment>
  </commentList>
</comments>
</file>

<file path=xl/sharedStrings.xml><?xml version="1.0" encoding="utf-8"?>
<sst xmlns="http://schemas.openxmlformats.org/spreadsheetml/2006/main" count="819" uniqueCount="143">
  <si>
    <t xml:space="preserve"> </t>
  </si>
  <si>
    <t xml:space="preserve">PROYECTO :                 </t>
  </si>
  <si>
    <t>FECHA:</t>
  </si>
  <si>
    <t>APIQUE:</t>
  </si>
  <si>
    <t xml:space="preserve"> LABORATORIO  DE MATERIALES</t>
  </si>
  <si>
    <t>MUESTRA N°</t>
  </si>
  <si>
    <t>Fecha Muestra</t>
  </si>
  <si>
    <t>FECHA</t>
  </si>
  <si>
    <t>CLIENTE:</t>
  </si>
  <si>
    <t>Muestra N°</t>
  </si>
  <si>
    <t>DESCRIPCION:</t>
  </si>
  <si>
    <t>Peso Inicial</t>
  </si>
  <si>
    <t>C L A S I F I C A C I O N    D E    S U E L O S  (U.S.C - AASHTO)</t>
  </si>
  <si>
    <t>,</t>
  </si>
  <si>
    <t>ABERT.</t>
  </si>
  <si>
    <t>DATO</t>
  </si>
  <si>
    <t>R. ACUM</t>
  </si>
  <si>
    <t>MALLA</t>
  </si>
  <si>
    <t>PESO</t>
  </si>
  <si>
    <t>INICIAL</t>
  </si>
  <si>
    <t>FINAL</t>
  </si>
  <si>
    <t>L I M I T E   L I Q U I D O</t>
  </si>
  <si>
    <t>3"</t>
  </si>
  <si>
    <t>Nd</t>
  </si>
  <si>
    <t xml:space="preserve">TAMIZ </t>
  </si>
  <si>
    <t>PESO. RET INDI</t>
  </si>
  <si>
    <t>% RET. INDIV.</t>
  </si>
  <si>
    <t>% QUE PASA</t>
  </si>
  <si>
    <t>E N S A Y O   N°</t>
  </si>
  <si>
    <t>2-1/2"</t>
  </si>
  <si>
    <t>Pulg</t>
  </si>
  <si>
    <t>mm</t>
  </si>
  <si>
    <t>2"</t>
  </si>
  <si>
    <t>Lc</t>
  </si>
  <si>
    <t>X7</t>
  </si>
  <si>
    <t>TARA N°</t>
  </si>
  <si>
    <t>1-1/2"</t>
  </si>
  <si>
    <t>Id</t>
  </si>
  <si>
    <t>X8</t>
  </si>
  <si>
    <t>N° DE GOLPES</t>
  </si>
  <si>
    <t>LL-30</t>
  </si>
  <si>
    <t>PESO SUELO+TARA HUMEDO</t>
  </si>
  <si>
    <t>3/4"</t>
  </si>
  <si>
    <t>CA</t>
  </si>
  <si>
    <t>X10</t>
  </si>
  <si>
    <t>PESO SUELO+TARA SECO</t>
  </si>
  <si>
    <t>1/2"</t>
  </si>
  <si>
    <t>AR</t>
  </si>
  <si>
    <t>X11</t>
  </si>
  <si>
    <t>1"</t>
  </si>
  <si>
    <t xml:space="preserve">PESO TARA </t>
  </si>
  <si>
    <t>3/8"</t>
  </si>
  <si>
    <t>K</t>
  </si>
  <si>
    <t>X12</t>
  </si>
  <si>
    <t>% DE HUMEDAD</t>
  </si>
  <si>
    <t>N°4</t>
  </si>
  <si>
    <t>L I M I T E    P L A S T I C O</t>
  </si>
  <si>
    <t>% Humedad Natural</t>
  </si>
  <si>
    <t>N°10</t>
  </si>
  <si>
    <t>a</t>
  </si>
  <si>
    <t>X14</t>
  </si>
  <si>
    <t>N°20</t>
  </si>
  <si>
    <t>b</t>
  </si>
  <si>
    <t>X15</t>
  </si>
  <si>
    <t>N°40</t>
  </si>
  <si>
    <t>c</t>
  </si>
  <si>
    <t>N°80</t>
  </si>
  <si>
    <t>d</t>
  </si>
  <si>
    <t>N°200</t>
  </si>
  <si>
    <t>D60</t>
  </si>
  <si>
    <t>I</t>
  </si>
  <si>
    <t>D30</t>
  </si>
  <si>
    <t>X19</t>
  </si>
  <si>
    <t>OLOR ORGANICO</t>
  </si>
  <si>
    <t>D10</t>
  </si>
  <si>
    <t>X20</t>
  </si>
  <si>
    <t>CU</t>
  </si>
  <si>
    <t>U.S.C</t>
  </si>
  <si>
    <t>Pasan</t>
  </si>
  <si>
    <t>LIMITE LIQUIDO</t>
  </si>
  <si>
    <t xml:space="preserve">   Totales =</t>
  </si>
  <si>
    <t>CC</t>
  </si>
  <si>
    <t>LIMITE PLASTICO</t>
  </si>
  <si>
    <t>C L A S I F I  C A C I O N</t>
  </si>
  <si>
    <t>AASHTO</t>
  </si>
  <si>
    <t>D 10</t>
  </si>
  <si>
    <t>INDICE DE  PLASTICIDAD</t>
  </si>
  <si>
    <t>U.S.C.S</t>
  </si>
  <si>
    <t>D 30</t>
  </si>
  <si>
    <t>INDICE   DE  GRUPO</t>
  </si>
  <si>
    <t xml:space="preserve"> O B S E R V A C I O N E S :</t>
  </si>
  <si>
    <t>D 60</t>
  </si>
  <si>
    <t>LABORATORIO</t>
  </si>
  <si>
    <t>RESPONSABLE :</t>
  </si>
  <si>
    <t>Elaborado por: STEVEN</t>
  </si>
  <si>
    <t>Aprobado por: EMM</t>
  </si>
  <si>
    <t>LIMO ARENOSO  ROJIZO Y AMARILLO</t>
  </si>
  <si>
    <t>|</t>
  </si>
  <si>
    <t>LA TAPA ESCONDIDA</t>
  </si>
  <si>
    <t>44.1</t>
  </si>
  <si>
    <t>35.6</t>
  </si>
  <si>
    <t>11.7</t>
  </si>
  <si>
    <t>11.1</t>
  </si>
  <si>
    <t>9.5</t>
  </si>
  <si>
    <t>31.9</t>
  </si>
  <si>
    <t>26.3</t>
  </si>
  <si>
    <t>33.3</t>
  </si>
  <si>
    <t>28.8</t>
  </si>
  <si>
    <t>21.7</t>
  </si>
  <si>
    <t>38.4</t>
  </si>
  <si>
    <t>32.3</t>
  </si>
  <si>
    <t>23.1</t>
  </si>
  <si>
    <t>26.8</t>
  </si>
  <si>
    <t>25.9</t>
  </si>
  <si>
    <t>24.1</t>
  </si>
  <si>
    <t>CLAVELLINO</t>
  </si>
  <si>
    <t>56.5</t>
  </si>
  <si>
    <t>42.4</t>
  </si>
  <si>
    <t>28.7</t>
  </si>
  <si>
    <t>20.6</t>
  </si>
  <si>
    <t>10.1</t>
  </si>
  <si>
    <t>37.5</t>
  </si>
  <si>
    <t>22.6</t>
  </si>
  <si>
    <t>57.8</t>
  </si>
  <si>
    <t>40.7</t>
  </si>
  <si>
    <t>COCO ARENAL</t>
  </si>
  <si>
    <t>39.8</t>
  </si>
  <si>
    <t>26.5</t>
  </si>
  <si>
    <t>21.6</t>
  </si>
  <si>
    <t>9.6</t>
  </si>
  <si>
    <t>BOGOTA</t>
  </si>
  <si>
    <t>57.2</t>
  </si>
  <si>
    <t>45.6</t>
  </si>
  <si>
    <t>JAGUAL</t>
  </si>
  <si>
    <t>68.8</t>
  </si>
  <si>
    <t>55.9</t>
  </si>
  <si>
    <t>23.2</t>
  </si>
  <si>
    <t>15.7</t>
  </si>
  <si>
    <t xml:space="preserve">Elaborado por: AMM </t>
  </si>
  <si>
    <t>EM GEOTECNIA</t>
  </si>
  <si>
    <t>CASA CAMPESTRE DE 2 NIVELES PARCELACIÓN EL LEÓN LOTE 17 SAN PEDRO - ANTIOQUIA.</t>
  </si>
  <si>
    <t>CLAUDIA MARÍA HERNÁNDEZ GÓMEZ</t>
  </si>
  <si>
    <t>LIMO ARENOSO NARANJA CON VETAS ROJIZAS DE ORIGEN RESIDUAL DE ROCA.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</si>
</sst>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d\,\ yyyy"/>
    <numFmt numFmtId="165" formatCode="0.0"/>
    <numFmt numFmtId="166" formatCode="0.000"/>
    <numFmt numFmtId="167" formatCode="0.0000000000000000000000000"/>
  </numFmts>
  <fonts count="35" x14ac:knownFonts="1">
    <font>
      <sz val="10"/>
      <name val="Arial"/>
    </font>
    <font>
      <sz val="10"/>
      <name val="Arial"/>
      <family val="2"/>
    </font>
    <font>
      <u/>
      <sz val="18"/>
      <color indexed="62"/>
      <name val="Arial Narrow"/>
      <family val="2"/>
    </font>
    <font>
      <sz val="12"/>
      <name val="Tahoma"/>
      <family val="2"/>
    </font>
    <font>
      <sz val="10"/>
      <name val="Tahoma"/>
      <family val="2"/>
    </font>
    <font>
      <sz val="11"/>
      <name val="Tahoma"/>
      <family val="2"/>
    </font>
    <font>
      <sz val="16"/>
      <name val="Arial"/>
      <family val="2"/>
    </font>
    <font>
      <sz val="9"/>
      <name val="Tahoma"/>
      <family val="2"/>
    </font>
    <font>
      <sz val="8"/>
      <name val="Tahoma"/>
      <family val="2"/>
    </font>
    <font>
      <sz val="9"/>
      <name val="Arial"/>
      <family val="2"/>
    </font>
    <font>
      <sz val="11"/>
      <name val="Arial"/>
      <family val="2"/>
    </font>
    <font>
      <sz val="8"/>
      <name val="Arial"/>
      <family val="2"/>
    </font>
    <font>
      <u/>
      <sz val="12"/>
      <name val="Arial"/>
      <family val="2"/>
    </font>
    <font>
      <sz val="14"/>
      <name val="Arial"/>
      <family val="2"/>
    </font>
    <font>
      <sz val="11"/>
      <color indexed="8"/>
      <name val="Tahoma"/>
      <family val="2"/>
    </font>
    <font>
      <sz val="12"/>
      <color indexed="8"/>
      <name val="Tahoma"/>
      <family val="2"/>
    </font>
    <font>
      <sz val="8"/>
      <name val="Haettenschweiler"/>
      <family val="2"/>
    </font>
    <font>
      <sz val="10"/>
      <name val="Haettenschweiler"/>
      <family val="2"/>
    </font>
    <font>
      <sz val="14"/>
      <name val="Tahoma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name val="Arial"/>
      <family val="2"/>
    </font>
    <font>
      <sz val="11"/>
      <color indexed="9"/>
      <name val="Tahoma"/>
      <family val="2"/>
    </font>
    <font>
      <sz val="11"/>
      <color indexed="9"/>
      <name val="Arial"/>
      <family val="2"/>
    </font>
    <font>
      <sz val="10"/>
      <name val="Times New Roman"/>
      <family val="1"/>
    </font>
    <font>
      <b/>
      <sz val="10"/>
      <color indexed="10"/>
      <name val="Tahoma"/>
      <family val="2"/>
    </font>
    <font>
      <b/>
      <sz val="11"/>
      <color indexed="10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sz val="11"/>
      <color indexed="9"/>
      <name val="Arial Narrow"/>
      <family val="2"/>
    </font>
    <font>
      <sz val="11"/>
      <color indexed="10"/>
      <name val="Arial Narrow"/>
      <family val="2"/>
    </font>
    <font>
      <u/>
      <sz val="1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9">
    <border>
      <left/>
      <right/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 style="thick">
        <color theme="0" tint="-0.34998626667073579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thick">
        <color theme="0" tint="-0.34998626667073579"/>
      </right>
      <top/>
      <bottom style="medium">
        <color indexed="23"/>
      </bottom>
      <diagonal/>
    </border>
    <border>
      <left/>
      <right style="thick">
        <color theme="0" tint="-0.34998626667073579"/>
      </right>
      <top/>
      <bottom style="thin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medium">
        <color indexed="23"/>
      </right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ck">
        <color theme="0" tint="-0.34998626667073579"/>
      </bottom>
      <diagonal/>
    </border>
    <border>
      <left/>
      <right style="medium">
        <color indexed="23"/>
      </right>
      <top style="medium">
        <color indexed="23"/>
      </top>
      <bottom style="thick">
        <color theme="0" tint="-0.34998626667073579"/>
      </bottom>
      <diagonal/>
    </border>
    <border>
      <left style="medium">
        <color indexed="23"/>
      </left>
      <right style="medium">
        <color indexed="23"/>
      </right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ck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theme="0" tint="-0.34998626667073579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indexed="23"/>
      </left>
      <right/>
      <top/>
      <bottom/>
      <diagonal/>
    </border>
    <border>
      <left style="medium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medium">
        <color indexed="23"/>
      </right>
      <top/>
      <bottom style="thin">
        <color indexed="23"/>
      </bottom>
      <diagonal/>
    </border>
    <border>
      <left/>
      <right style="thick">
        <color indexed="23"/>
      </right>
      <top/>
      <bottom/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/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thick">
        <color indexed="23"/>
      </right>
      <top style="medium">
        <color indexed="23"/>
      </top>
      <bottom style="medium">
        <color indexed="23"/>
      </bottom>
      <diagonal/>
    </border>
    <border>
      <left style="thick">
        <color indexed="23"/>
      </left>
      <right/>
      <top style="medium">
        <color indexed="23"/>
      </top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medium">
        <color indexed="23"/>
      </right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 style="thick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 style="thick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/>
      <top style="thick">
        <color theme="0" tint="-0.34998626667073579"/>
      </top>
      <bottom style="thin">
        <color indexed="23"/>
      </bottom>
      <diagonal/>
    </border>
    <border>
      <left/>
      <right style="thin">
        <color indexed="23"/>
      </right>
      <top style="thick">
        <color theme="0" tint="-0.34998626667073579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/>
      <diagonal/>
    </border>
    <border>
      <left style="thin">
        <color indexed="23"/>
      </left>
      <right style="medium">
        <color indexed="23"/>
      </right>
      <top/>
      <bottom style="thick">
        <color theme="0" tint="-0.34998626667073579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ck">
        <color theme="0" tint="-0.34998626667073579"/>
      </bottom>
      <diagonal/>
    </border>
    <border>
      <left/>
      <right style="thin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 style="thick">
        <color theme="0" tint="-0.34998626667073579"/>
      </bottom>
      <diagonal/>
    </border>
    <border>
      <left/>
      <right style="thin">
        <color indexed="23"/>
      </right>
      <top/>
      <bottom style="thick">
        <color theme="0" tint="-0.34998626667073579"/>
      </bottom>
      <diagonal/>
    </border>
    <border>
      <left style="medium">
        <color indexed="23"/>
      </left>
      <right/>
      <top style="thin">
        <color indexed="64"/>
      </top>
      <bottom style="medium">
        <color indexed="23"/>
      </bottom>
      <diagonal/>
    </border>
    <border>
      <left/>
      <right/>
      <top style="thin">
        <color indexed="64"/>
      </top>
      <bottom style="medium">
        <color indexed="23"/>
      </bottom>
      <diagonal/>
    </border>
    <border>
      <left/>
      <right style="medium">
        <color indexed="23"/>
      </right>
      <top style="thin">
        <color indexed="64"/>
      </top>
      <bottom style="medium">
        <color indexed="23"/>
      </bottom>
      <diagonal/>
    </border>
    <border>
      <left style="thick">
        <color theme="0" tint="-0.34998626667073579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9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6" fillId="0" borderId="0" xfId="0" applyFont="1" applyProtection="1"/>
    <xf numFmtId="164" fontId="10" fillId="0" borderId="0" xfId="0" applyNumberFormat="1" applyFont="1" applyFill="1" applyAlignment="1" applyProtection="1">
      <alignment horizontal="left"/>
    </xf>
    <xf numFmtId="0" fontId="6" fillId="0" borderId="0" xfId="0" applyFont="1" applyFill="1" applyProtection="1"/>
    <xf numFmtId="0" fontId="10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Protection="1"/>
    <xf numFmtId="0" fontId="0" fillId="0" borderId="0" xfId="0" applyFill="1" applyProtection="1"/>
    <xf numFmtId="0" fontId="1" fillId="0" borderId="20" xfId="0" applyFont="1" applyBorder="1" applyAlignment="1" applyProtection="1"/>
    <xf numFmtId="0" fontId="1" fillId="0" borderId="5" xfId="0" applyFont="1" applyBorder="1" applyAlignment="1" applyProtection="1"/>
    <xf numFmtId="0" fontId="10" fillId="0" borderId="0" xfId="0" applyFont="1" applyProtection="1"/>
    <xf numFmtId="0" fontId="9" fillId="0" borderId="0" xfId="0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/>
    </xf>
    <xf numFmtId="0" fontId="11" fillId="0" borderId="5" xfId="0" applyFont="1" applyFill="1" applyBorder="1" applyAlignment="1" applyProtection="1">
      <alignment horizontal="center"/>
    </xf>
    <xf numFmtId="0" fontId="1" fillId="0" borderId="5" xfId="0" applyFont="1" applyFill="1" applyBorder="1" applyAlignment="1" applyProtection="1">
      <alignment horizontal="center"/>
    </xf>
    <xf numFmtId="0" fontId="1" fillId="2" borderId="11" xfId="0" applyFont="1" applyFill="1" applyBorder="1" applyProtection="1"/>
    <xf numFmtId="0" fontId="10" fillId="0" borderId="9" xfId="0" applyFont="1" applyBorder="1" applyProtection="1"/>
    <xf numFmtId="0" fontId="1" fillId="0" borderId="9" xfId="0" applyFont="1" applyBorder="1" applyProtection="1"/>
    <xf numFmtId="0" fontId="12" fillId="0" borderId="9" xfId="0" applyFont="1" applyBorder="1" applyProtection="1"/>
    <xf numFmtId="0" fontId="1" fillId="2" borderId="27" xfId="0" applyFont="1" applyFill="1" applyBorder="1" applyAlignment="1" applyProtection="1">
      <alignment horizontal="centerContinuous"/>
    </xf>
    <xf numFmtId="0" fontId="13" fillId="0" borderId="0" xfId="0" applyFont="1" applyFill="1" applyProtection="1"/>
    <xf numFmtId="0" fontId="13" fillId="0" borderId="0" xfId="0" applyFont="1" applyProtection="1"/>
    <xf numFmtId="0" fontId="1" fillId="2" borderId="6" xfId="0" applyFont="1" applyFill="1" applyBorder="1" applyProtection="1"/>
    <xf numFmtId="0" fontId="5" fillId="3" borderId="25" xfId="0" applyFont="1" applyFill="1" applyBorder="1" applyAlignment="1" applyProtection="1">
      <alignment horizontal="center"/>
    </xf>
    <xf numFmtId="0" fontId="14" fillId="3" borderId="28" xfId="0" applyFont="1" applyFill="1" applyBorder="1" applyAlignment="1" applyProtection="1">
      <alignment horizontal="center"/>
    </xf>
    <xf numFmtId="165" fontId="14" fillId="0" borderId="29" xfId="0" applyNumberFormat="1" applyFont="1" applyBorder="1" applyAlignment="1" applyProtection="1">
      <alignment horizontal="center"/>
    </xf>
    <xf numFmtId="165" fontId="15" fillId="3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left"/>
    </xf>
    <xf numFmtId="0" fontId="1" fillId="2" borderId="33" xfId="0" applyFont="1" applyFill="1" applyBorder="1" applyAlignment="1" applyProtection="1">
      <alignment horizontal="centerContinuous"/>
    </xf>
    <xf numFmtId="0" fontId="10" fillId="0" borderId="14" xfId="0" applyFont="1" applyFill="1" applyBorder="1" applyAlignment="1" applyProtection="1">
      <alignment horizontal="center"/>
    </xf>
    <xf numFmtId="165" fontId="10" fillId="0" borderId="5" xfId="0" applyNumberFormat="1" applyFont="1" applyFill="1" applyBorder="1" applyAlignment="1" applyProtection="1">
      <alignment horizontal="center"/>
    </xf>
    <xf numFmtId="0" fontId="10" fillId="0" borderId="34" xfId="0" applyFont="1" applyFill="1" applyBorder="1" applyAlignment="1" applyProtection="1">
      <alignment horizontal="center"/>
    </xf>
    <xf numFmtId="0" fontId="10" fillId="0" borderId="5" xfId="0" applyFont="1" applyFill="1" applyBorder="1" applyAlignment="1" applyProtection="1">
      <alignment horizontal="center"/>
    </xf>
    <xf numFmtId="165" fontId="10" fillId="0" borderId="0" xfId="0" applyNumberFormat="1" applyFont="1" applyFill="1" applyBorder="1" applyAlignment="1" applyProtection="1">
      <alignment horizontal="center"/>
    </xf>
    <xf numFmtId="1" fontId="10" fillId="0" borderId="5" xfId="0" applyNumberFormat="1" applyFont="1" applyFill="1" applyBorder="1" applyAlignment="1" applyProtection="1">
      <alignment horizontal="center"/>
    </xf>
    <xf numFmtId="1" fontId="10" fillId="4" borderId="5" xfId="0" applyNumberFormat="1" applyFont="1" applyFill="1" applyBorder="1" applyAlignment="1" applyProtection="1">
      <alignment horizontal="center"/>
    </xf>
    <xf numFmtId="165" fontId="1" fillId="0" borderId="0" xfId="0" applyNumberFormat="1" applyFont="1" applyProtection="1"/>
    <xf numFmtId="0" fontId="1" fillId="2" borderId="41" xfId="0" applyFont="1" applyFill="1" applyBorder="1" applyProtection="1"/>
    <xf numFmtId="0" fontId="7" fillId="3" borderId="42" xfId="0" applyFont="1" applyFill="1" applyBorder="1" applyAlignment="1" applyProtection="1">
      <alignment horizontal="center" vertical="center" wrapText="1"/>
    </xf>
    <xf numFmtId="0" fontId="7" fillId="3" borderId="43" xfId="0" applyFont="1" applyFill="1" applyBorder="1" applyAlignment="1" applyProtection="1">
      <alignment horizontal="center" vertical="center" wrapText="1"/>
    </xf>
    <xf numFmtId="0" fontId="4" fillId="0" borderId="45" xfId="0" applyFont="1" applyBorder="1" applyProtection="1"/>
    <xf numFmtId="0" fontId="1" fillId="2" borderId="49" xfId="0" applyFont="1" applyFill="1" applyBorder="1" applyAlignment="1" applyProtection="1">
      <alignment horizontal="centerContinuous"/>
    </xf>
    <xf numFmtId="0" fontId="1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165" fontId="0" fillId="0" borderId="0" xfId="0" applyNumberFormat="1" applyProtection="1"/>
    <xf numFmtId="0" fontId="1" fillId="2" borderId="50" xfId="0" applyFont="1" applyFill="1" applyBorder="1" applyProtection="1"/>
    <xf numFmtId="0" fontId="5" fillId="0" borderId="51" xfId="0" applyFont="1" applyBorder="1" applyAlignment="1" applyProtection="1">
      <alignment horizontal="center" vertical="center"/>
    </xf>
    <xf numFmtId="2" fontId="5" fillId="2" borderId="52" xfId="0" applyNumberFormat="1" applyFont="1" applyFill="1" applyBorder="1" applyAlignment="1" applyProtection="1">
      <alignment horizontal="center" vertical="center"/>
    </xf>
    <xf numFmtId="165" fontId="5" fillId="2" borderId="53" xfId="0" applyNumberFormat="1" applyFont="1" applyFill="1" applyBorder="1" applyAlignment="1" applyProtection="1">
      <alignment horizontal="center" vertical="center"/>
    </xf>
    <xf numFmtId="165" fontId="5" fillId="2" borderId="54" xfId="1" applyNumberFormat="1" applyFont="1" applyFill="1" applyBorder="1" applyAlignment="1" applyProtection="1">
      <alignment horizontal="center" vertical="center"/>
    </xf>
    <xf numFmtId="165" fontId="5" fillId="2" borderId="55" xfId="1" applyNumberFormat="1" applyFont="1" applyFill="1" applyBorder="1" applyAlignment="1" applyProtection="1">
      <alignment horizontal="center" vertical="center"/>
    </xf>
    <xf numFmtId="0" fontId="18" fillId="0" borderId="0" xfId="0" applyFont="1" applyBorder="1" applyProtection="1"/>
    <xf numFmtId="0" fontId="5" fillId="0" borderId="54" xfId="0" applyFont="1" applyBorder="1" applyAlignment="1" applyProtection="1">
      <alignment horizontal="center" vertical="center"/>
      <protection locked="0"/>
    </xf>
    <xf numFmtId="0" fontId="5" fillId="0" borderId="55" xfId="0" applyFont="1" applyBorder="1" applyAlignment="1" applyProtection="1">
      <alignment horizontal="center" vertical="center"/>
      <protection locked="0"/>
    </xf>
    <xf numFmtId="0" fontId="1" fillId="2" borderId="56" xfId="0" applyFont="1" applyFill="1" applyBorder="1" applyAlignment="1" applyProtection="1">
      <alignment horizontal="centerContinuous"/>
    </xf>
    <xf numFmtId="0" fontId="19" fillId="0" borderId="0" xfId="0" applyFont="1" applyAlignment="1" applyProtection="1">
      <alignment vertical="center"/>
    </xf>
    <xf numFmtId="0" fontId="19" fillId="0" borderId="0" xfId="0" applyFont="1" applyProtection="1"/>
    <xf numFmtId="165" fontId="19" fillId="0" borderId="0" xfId="0" applyNumberFormat="1" applyFont="1" applyBorder="1" applyProtection="1"/>
    <xf numFmtId="0" fontId="19" fillId="0" borderId="0" xfId="0" applyFont="1" applyBorder="1" applyProtection="1"/>
    <xf numFmtId="0" fontId="5" fillId="0" borderId="57" xfId="0" applyFont="1" applyBorder="1" applyAlignment="1" applyProtection="1">
      <alignment horizontal="center" vertical="center"/>
    </xf>
    <xf numFmtId="165" fontId="5" fillId="2" borderId="58" xfId="0" applyNumberFormat="1" applyFont="1" applyFill="1" applyBorder="1" applyAlignment="1" applyProtection="1">
      <alignment horizontal="center" vertical="center"/>
    </xf>
    <xf numFmtId="165" fontId="5" fillId="2" borderId="52" xfId="1" applyNumberFormat="1" applyFont="1" applyFill="1" applyBorder="1" applyAlignment="1" applyProtection="1">
      <alignment horizontal="center" vertical="center"/>
    </xf>
    <xf numFmtId="165" fontId="5" fillId="2" borderId="59" xfId="1" applyNumberFormat="1" applyFont="1" applyFill="1" applyBorder="1" applyAlignment="1" applyProtection="1">
      <alignment horizontal="center" vertical="center"/>
    </xf>
    <xf numFmtId="2" fontId="10" fillId="0" borderId="0" xfId="0" applyNumberFormat="1" applyFont="1" applyFill="1" applyAlignment="1" applyProtection="1">
      <alignment horizontal="center"/>
    </xf>
    <xf numFmtId="165" fontId="19" fillId="0" borderId="0" xfId="0" applyNumberFormat="1" applyFont="1" applyFill="1" applyAlignment="1" applyProtection="1">
      <alignment horizontal="center"/>
    </xf>
    <xf numFmtId="2" fontId="10" fillId="0" borderId="14" xfId="0" applyNumberFormat="1" applyFont="1" applyFill="1" applyBorder="1" applyAlignment="1" applyProtection="1">
      <alignment horizontal="center"/>
    </xf>
    <xf numFmtId="0" fontId="19" fillId="0" borderId="5" xfId="0" applyFont="1" applyFill="1" applyBorder="1" applyAlignment="1" applyProtection="1">
      <alignment horizontal="center"/>
    </xf>
    <xf numFmtId="0" fontId="5" fillId="2" borderId="57" xfId="0" applyFont="1" applyFill="1" applyBorder="1" applyAlignment="1" applyProtection="1">
      <alignment horizontal="center" vertical="center"/>
    </xf>
    <xf numFmtId="2" fontId="19" fillId="0" borderId="0" xfId="0" applyNumberFormat="1" applyFont="1" applyProtection="1"/>
    <xf numFmtId="166" fontId="10" fillId="0" borderId="14" xfId="0" applyNumberFormat="1" applyFont="1" applyFill="1" applyBorder="1" applyAlignment="1" applyProtection="1">
      <alignment horizontal="center"/>
    </xf>
    <xf numFmtId="0" fontId="10" fillId="0" borderId="34" xfId="0" applyFont="1" applyFill="1" applyBorder="1" applyAlignment="1" applyProtection="1">
      <alignment horizontal="center" vertical="center"/>
    </xf>
    <xf numFmtId="1" fontId="10" fillId="0" borderId="5" xfId="0" applyNumberFormat="1" applyFont="1" applyFill="1" applyBorder="1" applyAlignment="1" applyProtection="1">
      <alignment horizontal="left"/>
    </xf>
    <xf numFmtId="1" fontId="10" fillId="0" borderId="0" xfId="0" applyNumberFormat="1" applyFont="1" applyFill="1" applyBorder="1" applyAlignment="1" applyProtection="1">
      <alignment horizontal="left"/>
    </xf>
    <xf numFmtId="0" fontId="20" fillId="0" borderId="5" xfId="0" applyFont="1" applyFill="1" applyBorder="1" applyAlignment="1" applyProtection="1">
      <alignment horizontal="center" vertical="center"/>
      <protection locked="0"/>
    </xf>
    <xf numFmtId="166" fontId="21" fillId="0" borderId="0" xfId="0" applyNumberFormat="1" applyFont="1" applyFill="1" applyProtection="1"/>
    <xf numFmtId="0" fontId="19" fillId="0" borderId="0" xfId="0" applyFont="1" applyFill="1" applyProtection="1"/>
    <xf numFmtId="166" fontId="10" fillId="0" borderId="5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Fill="1" applyProtection="1"/>
    <xf numFmtId="0" fontId="10" fillId="0" borderId="67" xfId="0" applyFont="1" applyFill="1" applyBorder="1" applyAlignment="1" applyProtection="1">
      <alignment horizontal="center"/>
    </xf>
    <xf numFmtId="0" fontId="13" fillId="0" borderId="0" xfId="0" applyFont="1" applyBorder="1" applyProtection="1"/>
    <xf numFmtId="0" fontId="5" fillId="2" borderId="68" xfId="0" applyFont="1" applyFill="1" applyBorder="1" applyAlignment="1" applyProtection="1">
      <alignment horizontal="center" vertical="center"/>
    </xf>
    <xf numFmtId="0" fontId="23" fillId="2" borderId="61" xfId="0" applyFont="1" applyFill="1" applyBorder="1" applyAlignment="1" applyProtection="1">
      <alignment horizontal="center" vertical="center"/>
    </xf>
    <xf numFmtId="165" fontId="5" fillId="2" borderId="69" xfId="0" applyNumberFormat="1" applyFont="1" applyFill="1" applyBorder="1" applyAlignment="1" applyProtection="1">
      <alignment horizontal="center" vertical="center"/>
    </xf>
    <xf numFmtId="165" fontId="5" fillId="2" borderId="61" xfId="1" applyNumberFormat="1" applyFont="1" applyFill="1" applyBorder="1" applyAlignment="1" applyProtection="1">
      <alignment horizontal="center" vertical="center"/>
    </xf>
    <xf numFmtId="165" fontId="5" fillId="2" borderId="70" xfId="1" applyNumberFormat="1" applyFont="1" applyFill="1" applyBorder="1" applyAlignment="1" applyProtection="1">
      <alignment horizontal="center" vertical="center"/>
    </xf>
    <xf numFmtId="165" fontId="10" fillId="0" borderId="71" xfId="0" applyNumberFormat="1" applyFont="1" applyFill="1" applyBorder="1" applyAlignment="1" applyProtection="1">
      <alignment horizontal="center"/>
    </xf>
    <xf numFmtId="0" fontId="1" fillId="2" borderId="0" xfId="0" applyFont="1" applyFill="1" applyBorder="1" applyProtection="1"/>
    <xf numFmtId="0" fontId="24" fillId="0" borderId="12" xfId="0" applyFont="1" applyFill="1" applyBorder="1" applyAlignment="1" applyProtection="1">
      <alignment horizontal="center"/>
    </xf>
    <xf numFmtId="165" fontId="5" fillId="2" borderId="74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Protection="1"/>
    <xf numFmtId="0" fontId="10" fillId="0" borderId="71" xfId="0" applyFont="1" applyFill="1" applyBorder="1" applyAlignment="1" applyProtection="1">
      <alignment horizontal="center"/>
    </xf>
    <xf numFmtId="2" fontId="19" fillId="0" borderId="0" xfId="0" applyNumberFormat="1" applyFont="1" applyFill="1" applyProtection="1"/>
    <xf numFmtId="165" fontId="1" fillId="0" borderId="0" xfId="0" applyNumberFormat="1" applyFont="1" applyBorder="1" applyProtection="1"/>
    <xf numFmtId="2" fontId="13" fillId="0" borderId="0" xfId="0" applyNumberFormat="1" applyFont="1" applyFill="1" applyProtection="1"/>
    <xf numFmtId="1" fontId="5" fillId="0" borderId="39" xfId="0" applyNumberFormat="1" applyFont="1" applyBorder="1" applyAlignment="1" applyProtection="1">
      <alignment horizontal="center" vertical="center"/>
    </xf>
    <xf numFmtId="0" fontId="5" fillId="0" borderId="40" xfId="0" applyFont="1" applyFill="1" applyBorder="1" applyAlignment="1" applyProtection="1">
      <alignment horizontal="center" vertical="center"/>
    </xf>
    <xf numFmtId="0" fontId="1" fillId="0" borderId="0" xfId="0" applyFont="1" applyBorder="1" applyProtection="1"/>
    <xf numFmtId="0" fontId="10" fillId="0" borderId="0" xfId="0" applyFont="1" applyFill="1" applyProtection="1"/>
    <xf numFmtId="165" fontId="19" fillId="0" borderId="0" xfId="0" applyNumberFormat="1" applyFont="1" applyBorder="1" applyAlignment="1" applyProtection="1"/>
    <xf numFmtId="1" fontId="5" fillId="0" borderId="52" xfId="0" applyNumberFormat="1" applyFont="1" applyBorder="1" applyAlignment="1" applyProtection="1">
      <alignment horizontal="center" vertical="center"/>
    </xf>
    <xf numFmtId="0" fontId="5" fillId="0" borderId="59" xfId="0" applyFont="1" applyFill="1" applyBorder="1" applyAlignment="1" applyProtection="1">
      <alignment horizontal="center" vertical="center"/>
    </xf>
    <xf numFmtId="0" fontId="10" fillId="0" borderId="0" xfId="0" applyFont="1" applyBorder="1" applyProtection="1"/>
    <xf numFmtId="2" fontId="10" fillId="0" borderId="71" xfId="0" applyNumberFormat="1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center"/>
    </xf>
    <xf numFmtId="0" fontId="10" fillId="0" borderId="0" xfId="0" applyFont="1" applyFill="1" applyBorder="1" applyAlignment="1" applyProtection="1">
      <alignment horizontal="right"/>
    </xf>
    <xf numFmtId="0" fontId="1" fillId="0" borderId="0" xfId="0" applyFont="1" applyBorder="1" applyAlignment="1" applyProtection="1">
      <alignment horizontal="left"/>
    </xf>
    <xf numFmtId="0" fontId="1" fillId="2" borderId="56" xfId="0" applyFont="1" applyFill="1" applyBorder="1" applyProtection="1"/>
    <xf numFmtId="0" fontId="5" fillId="0" borderId="61" xfId="0" applyFont="1" applyBorder="1" applyAlignment="1" applyProtection="1">
      <alignment horizontal="center" vertical="center"/>
    </xf>
    <xf numFmtId="0" fontId="5" fillId="0" borderId="70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right"/>
    </xf>
    <xf numFmtId="0" fontId="5" fillId="0" borderId="0" xfId="0" applyFont="1" applyBorder="1" applyProtection="1"/>
    <xf numFmtId="0" fontId="5" fillId="2" borderId="9" xfId="0" applyFont="1" applyFill="1" applyBorder="1" applyAlignment="1" applyProtection="1">
      <alignment horizontal="left"/>
      <protection locked="0"/>
    </xf>
    <xf numFmtId="0" fontId="4" fillId="2" borderId="9" xfId="0" applyFont="1" applyFill="1" applyBorder="1" applyAlignment="1" applyProtection="1">
      <alignment horizontal="left"/>
      <protection locked="0"/>
    </xf>
    <xf numFmtId="0" fontId="1" fillId="2" borderId="0" xfId="0" applyFont="1" applyFill="1" applyBorder="1" applyProtection="1">
      <protection locked="0"/>
    </xf>
    <xf numFmtId="165" fontId="10" fillId="0" borderId="0" xfId="0" applyNumberFormat="1" applyFont="1" applyFill="1" applyBorder="1" applyAlignment="1" applyProtection="1">
      <alignment horizontal="right"/>
    </xf>
    <xf numFmtId="0" fontId="10" fillId="0" borderId="9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2" borderId="9" xfId="0" applyFont="1" applyFill="1" applyBorder="1" applyProtection="1">
      <protection locked="0"/>
    </xf>
    <xf numFmtId="2" fontId="10" fillId="0" borderId="75" xfId="0" applyNumberFormat="1" applyFont="1" applyFill="1" applyBorder="1" applyAlignment="1" applyProtection="1">
      <alignment horizontal="center"/>
    </xf>
    <xf numFmtId="0" fontId="1" fillId="0" borderId="13" xfId="0" applyFont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0" borderId="0" xfId="0" applyBorder="1" applyProtection="1"/>
    <xf numFmtId="2" fontId="10" fillId="0" borderId="0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Border="1" applyAlignment="1" applyProtection="1">
      <alignment horizontal="left" vertical="center"/>
    </xf>
    <xf numFmtId="2" fontId="1" fillId="0" borderId="0" xfId="0" applyNumberFormat="1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2" fontId="0" fillId="0" borderId="0" xfId="0" applyNumberFormat="1" applyBorder="1" applyProtection="1"/>
    <xf numFmtId="0" fontId="1" fillId="0" borderId="0" xfId="0" applyFont="1" applyFill="1" applyBorder="1" applyProtection="1"/>
    <xf numFmtId="0" fontId="19" fillId="0" borderId="0" xfId="0" applyFont="1" applyFill="1" applyBorder="1" applyAlignment="1" applyProtection="1">
      <alignment horizontal="left" vertical="center"/>
    </xf>
    <xf numFmtId="0" fontId="19" fillId="0" borderId="0" xfId="0" applyFont="1" applyFill="1" applyBorder="1" applyProtection="1"/>
    <xf numFmtId="2" fontId="19" fillId="0" borderId="0" xfId="0" applyNumberFormat="1" applyFont="1" applyFill="1" applyBorder="1" applyProtection="1"/>
    <xf numFmtId="1" fontId="19" fillId="0" borderId="0" xfId="0" applyNumberFormat="1" applyFont="1" applyFill="1" applyProtection="1"/>
    <xf numFmtId="166" fontId="19" fillId="0" borderId="0" xfId="0" applyNumberFormat="1" applyFont="1" applyFill="1" applyProtection="1"/>
    <xf numFmtId="165" fontId="19" fillId="0" borderId="0" xfId="0" applyNumberFormat="1" applyFont="1" applyFill="1" applyProtection="1"/>
    <xf numFmtId="165" fontId="19" fillId="0" borderId="0" xfId="0" applyNumberFormat="1" applyFont="1" applyFill="1" applyBorder="1" applyProtection="1"/>
    <xf numFmtId="0" fontId="25" fillId="0" borderId="0" xfId="0" applyFont="1" applyBorder="1" applyAlignment="1">
      <alignment horizontal="center" vertical="center" wrapText="1"/>
    </xf>
    <xf numFmtId="165" fontId="1" fillId="0" borderId="0" xfId="0" applyNumberFormat="1" applyFont="1" applyFill="1" applyProtection="1"/>
    <xf numFmtId="165" fontId="0" fillId="0" borderId="0" xfId="0" applyNumberFormat="1" applyFill="1" applyProtection="1"/>
    <xf numFmtId="166" fontId="10" fillId="0" borderId="5" xfId="0" applyNumberFormat="1" applyFont="1" applyFill="1" applyBorder="1" applyAlignment="1" applyProtection="1">
      <alignment horizontal="center"/>
    </xf>
    <xf numFmtId="2" fontId="1" fillId="0" borderId="0" xfId="0" applyNumberFormat="1" applyFont="1" applyFill="1" applyProtection="1"/>
    <xf numFmtId="0" fontId="25" fillId="0" borderId="0" xfId="0" applyNumberFormat="1" applyFont="1" applyBorder="1" applyAlignment="1">
      <alignment horizontal="center" vertical="center" wrapText="1"/>
    </xf>
    <xf numFmtId="165" fontId="10" fillId="0" borderId="0" xfId="0" applyNumberFormat="1" applyFont="1" applyBorder="1" applyProtection="1"/>
    <xf numFmtId="166" fontId="19" fillId="0" borderId="0" xfId="0" applyNumberFormat="1" applyFont="1" applyBorder="1" applyProtection="1"/>
    <xf numFmtId="2" fontId="19" fillId="0" borderId="0" xfId="0" applyNumberFormat="1" applyFont="1" applyBorder="1" applyProtection="1"/>
    <xf numFmtId="166" fontId="0" fillId="0" borderId="0" xfId="0" applyNumberFormat="1" applyBorder="1" applyProtection="1"/>
    <xf numFmtId="165" fontId="0" fillId="0" borderId="0" xfId="0" applyNumberFormat="1" applyBorder="1" applyProtection="1"/>
    <xf numFmtId="2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2" fontId="1" fillId="0" borderId="0" xfId="0" applyNumberFormat="1" applyFont="1" applyBorder="1" applyProtection="1"/>
    <xf numFmtId="165" fontId="0" fillId="0" borderId="0" xfId="0" applyNumberFormat="1" applyFill="1" applyBorder="1" applyProtection="1"/>
    <xf numFmtId="0" fontId="0" fillId="0" borderId="0" xfId="0" applyFill="1" applyBorder="1" applyProtection="1"/>
    <xf numFmtId="2" fontId="1" fillId="0" borderId="0" xfId="0" applyNumberFormat="1" applyFont="1" applyFill="1" applyBorder="1" applyProtection="1"/>
    <xf numFmtId="0" fontId="10" fillId="6" borderId="12" xfId="0" applyFont="1" applyFill="1" applyBorder="1" applyAlignment="1" applyProtection="1">
      <alignment horizontal="center"/>
      <protection locked="0"/>
    </xf>
    <xf numFmtId="0" fontId="10" fillId="6" borderId="12" xfId="0" applyFont="1" applyFill="1" applyBorder="1" applyAlignment="1" applyProtection="1">
      <alignment horizontal="center" vertical="center"/>
      <protection locked="0"/>
    </xf>
    <xf numFmtId="165" fontId="10" fillId="6" borderId="12" xfId="0" applyNumberFormat="1" applyFont="1" applyFill="1" applyBorder="1" applyAlignment="1" applyProtection="1">
      <alignment horizontal="center"/>
      <protection locked="0"/>
    </xf>
    <xf numFmtId="167" fontId="10" fillId="0" borderId="5" xfId="0" applyNumberFormat="1" applyFont="1" applyFill="1" applyBorder="1" applyAlignment="1" applyProtection="1">
      <alignment horizontal="left"/>
    </xf>
    <xf numFmtId="165" fontId="1" fillId="6" borderId="0" xfId="0" applyNumberFormat="1" applyFont="1" applyFill="1" applyAlignment="1" applyProtection="1">
      <alignment horizontal="center"/>
      <protection locked="0"/>
    </xf>
    <xf numFmtId="0" fontId="4" fillId="7" borderId="5" xfId="0" applyFont="1" applyFill="1" applyBorder="1" applyAlignment="1" applyProtection="1">
      <alignment vertical="center"/>
    </xf>
    <xf numFmtId="0" fontId="4" fillId="7" borderId="5" xfId="0" applyFont="1" applyFill="1" applyBorder="1" applyProtection="1"/>
    <xf numFmtId="0" fontId="5" fillId="7" borderId="52" xfId="0" applyFont="1" applyFill="1" applyBorder="1" applyAlignment="1" applyProtection="1">
      <alignment horizontal="center" vertical="center"/>
      <protection locked="0"/>
    </xf>
    <xf numFmtId="0" fontId="5" fillId="7" borderId="59" xfId="0" applyFont="1" applyFill="1" applyBorder="1" applyAlignment="1" applyProtection="1">
      <alignment horizontal="center" vertical="center"/>
      <protection locked="0"/>
    </xf>
    <xf numFmtId="2" fontId="5" fillId="7" borderId="52" xfId="0" applyNumberFormat="1" applyFont="1" applyFill="1" applyBorder="1" applyAlignment="1" applyProtection="1">
      <alignment horizontal="center" vertical="center"/>
      <protection locked="0"/>
    </xf>
    <xf numFmtId="2" fontId="5" fillId="7" borderId="59" xfId="0" applyNumberFormat="1" applyFont="1" applyFill="1" applyBorder="1" applyAlignment="1" applyProtection="1">
      <alignment horizontal="center" vertical="center"/>
      <protection locked="0"/>
    </xf>
    <xf numFmtId="2" fontId="5" fillId="7" borderId="61" xfId="0" applyNumberFormat="1" applyFont="1" applyFill="1" applyBorder="1" applyAlignment="1" applyProtection="1">
      <alignment horizontal="center" vertical="center"/>
    </xf>
    <xf numFmtId="2" fontId="5" fillId="7" borderId="62" xfId="0" applyNumberFormat="1" applyFont="1" applyFill="1" applyBorder="1" applyAlignment="1" applyProtection="1">
      <alignment horizontal="center" vertical="center"/>
    </xf>
    <xf numFmtId="0" fontId="3" fillId="7" borderId="65" xfId="0" applyFont="1" applyFill="1" applyBorder="1" applyAlignment="1" applyProtection="1">
      <alignment horizontal="center" vertical="center"/>
    </xf>
    <xf numFmtId="0" fontId="5" fillId="7" borderId="54" xfId="0" applyFont="1" applyFill="1" applyBorder="1" applyAlignment="1" applyProtection="1">
      <alignment horizontal="center" vertical="center"/>
      <protection locked="0"/>
    </xf>
    <xf numFmtId="165" fontId="5" fillId="7" borderId="5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3" fillId="7" borderId="39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left"/>
    </xf>
    <xf numFmtId="0" fontId="1" fillId="0" borderId="13" xfId="0" applyFont="1" applyBorder="1" applyAlignment="1" applyProtection="1">
      <alignment horizontal="left"/>
    </xf>
    <xf numFmtId="0" fontId="3" fillId="7" borderId="39" xfId="0" applyFont="1" applyFill="1" applyBorder="1" applyAlignment="1" applyProtection="1">
      <alignment horizontal="center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164" fontId="30" fillId="0" borderId="0" xfId="0" applyNumberFormat="1" applyFont="1" applyFill="1" applyAlignment="1" applyProtection="1">
      <alignment horizontal="left"/>
    </xf>
    <xf numFmtId="0" fontId="30" fillId="0" borderId="0" xfId="0" applyFont="1" applyFill="1" applyAlignment="1" applyProtection="1">
      <alignment horizontal="center"/>
      <protection locked="0"/>
    </xf>
    <xf numFmtId="0" fontId="30" fillId="0" borderId="9" xfId="0" applyFont="1" applyBorder="1" applyProtection="1"/>
    <xf numFmtId="0" fontId="30" fillId="0" borderId="14" xfId="0" applyFont="1" applyFill="1" applyBorder="1" applyAlignment="1" applyProtection="1">
      <alignment horizontal="center"/>
    </xf>
    <xf numFmtId="165" fontId="30" fillId="0" borderId="5" xfId="0" applyNumberFormat="1" applyFont="1" applyFill="1" applyBorder="1" applyAlignment="1" applyProtection="1">
      <alignment horizontal="center"/>
    </xf>
    <xf numFmtId="0" fontId="30" fillId="6" borderId="12" xfId="0" applyFont="1" applyFill="1" applyBorder="1" applyAlignment="1" applyProtection="1">
      <alignment horizontal="center"/>
      <protection locked="0"/>
    </xf>
    <xf numFmtId="0" fontId="30" fillId="0" borderId="34" xfId="0" applyFont="1" applyFill="1" applyBorder="1" applyAlignment="1" applyProtection="1">
      <alignment horizontal="center"/>
    </xf>
    <xf numFmtId="0" fontId="30" fillId="0" borderId="5" xfId="0" applyFont="1" applyFill="1" applyBorder="1" applyAlignment="1" applyProtection="1">
      <alignment horizontal="center"/>
    </xf>
    <xf numFmtId="165" fontId="30" fillId="0" borderId="0" xfId="0" applyNumberFormat="1" applyFont="1" applyFill="1" applyBorder="1" applyAlignment="1" applyProtection="1">
      <alignment horizontal="center"/>
    </xf>
    <xf numFmtId="1" fontId="30" fillId="0" borderId="5" xfId="0" applyNumberFormat="1" applyFont="1" applyFill="1" applyBorder="1" applyAlignment="1" applyProtection="1">
      <alignment horizontal="center"/>
    </xf>
    <xf numFmtId="1" fontId="30" fillId="4" borderId="5" xfId="0" applyNumberFormat="1" applyFont="1" applyFill="1" applyBorder="1" applyAlignment="1" applyProtection="1">
      <alignment horizontal="center"/>
    </xf>
    <xf numFmtId="0" fontId="30" fillId="6" borderId="12" xfId="0" applyFont="1" applyFill="1" applyBorder="1" applyAlignment="1" applyProtection="1">
      <alignment horizontal="center" vertical="center"/>
      <protection locked="0"/>
    </xf>
    <xf numFmtId="0" fontId="30" fillId="0" borderId="51" xfId="0" applyFont="1" applyBorder="1" applyAlignment="1" applyProtection="1">
      <alignment horizontal="center" vertical="center"/>
    </xf>
    <xf numFmtId="2" fontId="30" fillId="2" borderId="52" xfId="0" applyNumberFormat="1" applyFont="1" applyFill="1" applyBorder="1" applyAlignment="1" applyProtection="1">
      <alignment horizontal="center" vertical="center"/>
    </xf>
    <xf numFmtId="165" fontId="30" fillId="2" borderId="53" xfId="0" applyNumberFormat="1" applyFont="1" applyFill="1" applyBorder="1" applyAlignment="1" applyProtection="1">
      <alignment horizontal="center" vertical="center"/>
    </xf>
    <xf numFmtId="165" fontId="30" fillId="2" borderId="54" xfId="1" applyNumberFormat="1" applyFont="1" applyFill="1" applyBorder="1" applyAlignment="1" applyProtection="1">
      <alignment horizontal="center" vertical="center"/>
    </xf>
    <xf numFmtId="165" fontId="30" fillId="2" borderId="55" xfId="1" applyNumberFormat="1" applyFont="1" applyFill="1" applyBorder="1" applyAlignment="1" applyProtection="1">
      <alignment horizontal="center" vertical="center"/>
    </xf>
    <xf numFmtId="0" fontId="30" fillId="0" borderId="54" xfId="0" applyFont="1" applyBorder="1" applyAlignment="1" applyProtection="1">
      <alignment horizontal="center" vertical="center"/>
      <protection locked="0"/>
    </xf>
    <xf numFmtId="0" fontId="30" fillId="0" borderId="55" xfId="0" applyFont="1" applyBorder="1" applyAlignment="1" applyProtection="1">
      <alignment horizontal="center" vertical="center"/>
      <protection locked="0"/>
    </xf>
    <xf numFmtId="0" fontId="30" fillId="0" borderId="57" xfId="0" applyFont="1" applyBorder="1" applyAlignment="1" applyProtection="1">
      <alignment horizontal="center" vertical="center"/>
    </xf>
    <xf numFmtId="165" fontId="30" fillId="2" borderId="58" xfId="0" applyNumberFormat="1" applyFont="1" applyFill="1" applyBorder="1" applyAlignment="1" applyProtection="1">
      <alignment horizontal="center" vertical="center"/>
    </xf>
    <xf numFmtId="165" fontId="30" fillId="2" borderId="52" xfId="1" applyNumberFormat="1" applyFont="1" applyFill="1" applyBorder="1" applyAlignment="1" applyProtection="1">
      <alignment horizontal="center" vertical="center"/>
    </xf>
    <xf numFmtId="165" fontId="30" fillId="2" borderId="59" xfId="1" applyNumberFormat="1" applyFont="1" applyFill="1" applyBorder="1" applyAlignment="1" applyProtection="1">
      <alignment horizontal="center" vertical="center"/>
    </xf>
    <xf numFmtId="0" fontId="30" fillId="7" borderId="52" xfId="0" applyFont="1" applyFill="1" applyBorder="1" applyAlignment="1" applyProtection="1">
      <alignment horizontal="center" vertical="center"/>
      <protection locked="0"/>
    </xf>
    <xf numFmtId="0" fontId="30" fillId="7" borderId="59" xfId="0" applyFont="1" applyFill="1" applyBorder="1" applyAlignment="1" applyProtection="1">
      <alignment horizontal="center" vertical="center"/>
      <protection locked="0"/>
    </xf>
    <xf numFmtId="2" fontId="30" fillId="0" borderId="0" xfId="0" applyNumberFormat="1" applyFont="1" applyFill="1" applyAlignment="1" applyProtection="1">
      <alignment horizontal="center"/>
    </xf>
    <xf numFmtId="2" fontId="30" fillId="7" borderId="52" xfId="0" applyNumberFormat="1" applyFont="1" applyFill="1" applyBorder="1" applyAlignment="1" applyProtection="1">
      <alignment horizontal="center" vertical="center"/>
      <protection locked="0"/>
    </xf>
    <xf numFmtId="2" fontId="30" fillId="7" borderId="59" xfId="0" applyNumberFormat="1" applyFont="1" applyFill="1" applyBorder="1" applyAlignment="1" applyProtection="1">
      <alignment horizontal="center" vertical="center"/>
      <protection locked="0"/>
    </xf>
    <xf numFmtId="2" fontId="30" fillId="7" borderId="61" xfId="0" applyNumberFormat="1" applyFont="1" applyFill="1" applyBorder="1" applyAlignment="1" applyProtection="1">
      <alignment horizontal="center" vertical="center"/>
    </xf>
    <xf numFmtId="2" fontId="30" fillId="7" borderId="62" xfId="0" applyNumberFormat="1" applyFont="1" applyFill="1" applyBorder="1" applyAlignment="1" applyProtection="1">
      <alignment horizontal="center" vertical="center"/>
    </xf>
    <xf numFmtId="2" fontId="30" fillId="0" borderId="14" xfId="0" applyNumberFormat="1" applyFont="1" applyFill="1" applyBorder="1" applyAlignment="1" applyProtection="1">
      <alignment horizontal="center"/>
    </xf>
    <xf numFmtId="0" fontId="30" fillId="2" borderId="57" xfId="0" applyFont="1" applyFill="1" applyBorder="1" applyAlignment="1" applyProtection="1">
      <alignment horizontal="center" vertical="center"/>
    </xf>
    <xf numFmtId="0" fontId="30" fillId="7" borderId="54" xfId="0" applyFont="1" applyFill="1" applyBorder="1" applyAlignment="1" applyProtection="1">
      <alignment horizontal="center" vertical="center"/>
      <protection locked="0"/>
    </xf>
    <xf numFmtId="166" fontId="30" fillId="0" borderId="14" xfId="0" applyNumberFormat="1" applyFont="1" applyFill="1" applyBorder="1" applyAlignment="1" applyProtection="1">
      <alignment horizontal="center"/>
    </xf>
    <xf numFmtId="165" fontId="30" fillId="6" borderId="12" xfId="0" applyNumberFormat="1" applyFont="1" applyFill="1" applyBorder="1" applyAlignment="1" applyProtection="1">
      <alignment horizontal="center"/>
      <protection locked="0"/>
    </xf>
    <xf numFmtId="0" fontId="30" fillId="0" borderId="34" xfId="0" applyFont="1" applyFill="1" applyBorder="1" applyAlignment="1" applyProtection="1">
      <alignment horizontal="center" vertical="center"/>
    </xf>
    <xf numFmtId="1" fontId="30" fillId="0" borderId="5" xfId="0" applyNumberFormat="1" applyFont="1" applyFill="1" applyBorder="1" applyAlignment="1" applyProtection="1">
      <alignment horizontal="left"/>
    </xf>
    <xf numFmtId="1" fontId="30" fillId="0" borderId="0" xfId="0" applyNumberFormat="1" applyFont="1" applyFill="1" applyBorder="1" applyAlignment="1" applyProtection="1">
      <alignment horizontal="left"/>
    </xf>
    <xf numFmtId="165" fontId="30" fillId="7" borderId="52" xfId="0" applyNumberFormat="1" applyFont="1" applyFill="1" applyBorder="1" applyAlignment="1" applyProtection="1">
      <alignment horizontal="center" vertical="center"/>
      <protection locked="0"/>
    </xf>
    <xf numFmtId="167" fontId="30" fillId="0" borderId="5" xfId="0" applyNumberFormat="1" applyFont="1" applyFill="1" applyBorder="1" applyAlignment="1" applyProtection="1">
      <alignment horizontal="left"/>
    </xf>
    <xf numFmtId="166" fontId="30" fillId="0" borderId="5" xfId="0" applyNumberFormat="1" applyFont="1" applyFill="1" applyBorder="1" applyAlignment="1" applyProtection="1">
      <alignment horizontal="center"/>
      <protection locked="0"/>
    </xf>
    <xf numFmtId="0" fontId="30" fillId="0" borderId="67" xfId="0" applyFont="1" applyFill="1" applyBorder="1" applyAlignment="1" applyProtection="1">
      <alignment horizontal="center"/>
    </xf>
    <xf numFmtId="0" fontId="30" fillId="2" borderId="68" xfId="0" applyFont="1" applyFill="1" applyBorder="1" applyAlignment="1" applyProtection="1">
      <alignment horizontal="center" vertical="center"/>
    </xf>
    <xf numFmtId="0" fontId="32" fillId="2" borderId="61" xfId="0" applyFont="1" applyFill="1" applyBorder="1" applyAlignment="1" applyProtection="1">
      <alignment horizontal="center" vertical="center"/>
    </xf>
    <xf numFmtId="165" fontId="30" fillId="2" borderId="69" xfId="0" applyNumberFormat="1" applyFont="1" applyFill="1" applyBorder="1" applyAlignment="1" applyProtection="1">
      <alignment horizontal="center" vertical="center"/>
    </xf>
    <xf numFmtId="165" fontId="30" fillId="2" borderId="61" xfId="1" applyNumberFormat="1" applyFont="1" applyFill="1" applyBorder="1" applyAlignment="1" applyProtection="1">
      <alignment horizontal="center" vertical="center"/>
    </xf>
    <xf numFmtId="165" fontId="30" fillId="2" borderId="70" xfId="1" applyNumberFormat="1" applyFont="1" applyFill="1" applyBorder="1" applyAlignment="1" applyProtection="1">
      <alignment horizontal="center" vertical="center"/>
    </xf>
    <xf numFmtId="165" fontId="30" fillId="0" borderId="71" xfId="0" applyNumberFormat="1" applyFont="1" applyFill="1" applyBorder="1" applyAlignment="1" applyProtection="1">
      <alignment horizontal="center"/>
    </xf>
    <xf numFmtId="0" fontId="32" fillId="0" borderId="12" xfId="0" applyFont="1" applyFill="1" applyBorder="1" applyAlignment="1" applyProtection="1">
      <alignment horizontal="center"/>
    </xf>
    <xf numFmtId="165" fontId="30" fillId="2" borderId="74" xfId="0" applyNumberFormat="1" applyFont="1" applyFill="1" applyBorder="1" applyAlignment="1" applyProtection="1">
      <alignment horizontal="center" vertical="center"/>
    </xf>
    <xf numFmtId="0" fontId="30" fillId="0" borderId="71" xfId="0" applyFont="1" applyFill="1" applyBorder="1" applyAlignment="1" applyProtection="1">
      <alignment horizontal="center"/>
    </xf>
    <xf numFmtId="165" fontId="30" fillId="0" borderId="0" xfId="0" applyNumberFormat="1" applyFont="1" applyBorder="1" applyProtection="1"/>
    <xf numFmtId="1" fontId="30" fillId="0" borderId="39" xfId="0" applyNumberFormat="1" applyFont="1" applyBorder="1" applyAlignment="1" applyProtection="1">
      <alignment horizontal="center" vertical="center"/>
    </xf>
    <xf numFmtId="0" fontId="30" fillId="0" borderId="40" xfId="0" applyFont="1" applyFill="1" applyBorder="1" applyAlignment="1" applyProtection="1">
      <alignment horizontal="center" vertical="center"/>
    </xf>
    <xf numFmtId="0" fontId="30" fillId="0" borderId="0" xfId="0" applyFont="1" applyFill="1" applyProtection="1"/>
    <xf numFmtId="1" fontId="30" fillId="0" borderId="52" xfId="0" applyNumberFormat="1" applyFont="1" applyBorder="1" applyAlignment="1" applyProtection="1">
      <alignment horizontal="center" vertical="center"/>
    </xf>
    <xf numFmtId="0" fontId="30" fillId="0" borderId="59" xfId="0" applyFont="1" applyFill="1" applyBorder="1" applyAlignment="1" applyProtection="1">
      <alignment horizontal="center" vertical="center"/>
    </xf>
    <xf numFmtId="0" fontId="30" fillId="0" borderId="0" xfId="0" applyFont="1" applyBorder="1" applyProtection="1"/>
    <xf numFmtId="2" fontId="30" fillId="0" borderId="71" xfId="0" applyNumberFormat="1" applyFont="1" applyFill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right"/>
    </xf>
    <xf numFmtId="0" fontId="30" fillId="0" borderId="61" xfId="0" applyFont="1" applyBorder="1" applyAlignment="1" applyProtection="1">
      <alignment horizontal="center" vertical="center"/>
    </xf>
    <xf numFmtId="0" fontId="30" fillId="0" borderId="70" xfId="0" applyFont="1" applyFill="1" applyBorder="1" applyAlignment="1" applyProtection="1">
      <alignment horizontal="center" vertical="center"/>
    </xf>
    <xf numFmtId="0" fontId="30" fillId="2" borderId="9" xfId="0" applyFont="1" applyFill="1" applyBorder="1" applyAlignment="1" applyProtection="1">
      <alignment horizontal="left"/>
      <protection locked="0"/>
    </xf>
    <xf numFmtId="165" fontId="30" fillId="0" borderId="0" xfId="0" applyNumberFormat="1" applyFont="1" applyFill="1" applyBorder="1" applyAlignment="1" applyProtection="1">
      <alignment horizontal="right"/>
    </xf>
    <xf numFmtId="0" fontId="30" fillId="0" borderId="9" xfId="0" applyFont="1" applyBorder="1" applyProtection="1">
      <protection locked="0"/>
    </xf>
    <xf numFmtId="2" fontId="30" fillId="0" borderId="75" xfId="0" applyNumberFormat="1" applyFont="1" applyFill="1" applyBorder="1" applyAlignment="1" applyProtection="1">
      <alignment horizontal="center"/>
    </xf>
    <xf numFmtId="2" fontId="30" fillId="0" borderId="0" xfId="0" applyNumberFormat="1" applyFont="1" applyFill="1" applyBorder="1" applyAlignment="1" applyProtection="1">
      <alignment horizontal="center"/>
    </xf>
    <xf numFmtId="166" fontId="30" fillId="0" borderId="5" xfId="0" applyNumberFormat="1" applyFont="1" applyFill="1" applyBorder="1" applyAlignment="1" applyProtection="1">
      <alignment horizontal="center"/>
    </xf>
    <xf numFmtId="0" fontId="30" fillId="3" borderId="25" xfId="0" applyFont="1" applyFill="1" applyBorder="1" applyAlignment="1" applyProtection="1">
      <alignment horizontal="center" vertical="center"/>
    </xf>
    <xf numFmtId="0" fontId="31" fillId="3" borderId="28" xfId="0" applyFont="1" applyFill="1" applyBorder="1" applyAlignment="1" applyProtection="1">
      <alignment horizontal="center" vertical="center"/>
    </xf>
    <xf numFmtId="165" fontId="31" fillId="0" borderId="29" xfId="0" applyNumberFormat="1" applyFont="1" applyBorder="1" applyAlignment="1" applyProtection="1">
      <alignment horizontal="center" vertical="center"/>
    </xf>
    <xf numFmtId="0" fontId="30" fillId="2" borderId="6" xfId="0" applyFont="1" applyFill="1" applyBorder="1" applyProtection="1"/>
    <xf numFmtId="165" fontId="31" fillId="3" borderId="25" xfId="0" applyNumberFormat="1" applyFont="1" applyFill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left"/>
    </xf>
    <xf numFmtId="0" fontId="30" fillId="2" borderId="33" xfId="0" applyFont="1" applyFill="1" applyBorder="1" applyAlignment="1" applyProtection="1">
      <alignment horizontal="centerContinuous"/>
    </xf>
    <xf numFmtId="0" fontId="30" fillId="2" borderId="41" xfId="0" applyFont="1" applyFill="1" applyBorder="1" applyProtection="1"/>
    <xf numFmtId="0" fontId="30" fillId="3" borderId="42" xfId="0" applyFont="1" applyFill="1" applyBorder="1" applyAlignment="1" applyProtection="1">
      <alignment horizontal="center" vertical="center" wrapText="1"/>
    </xf>
    <xf numFmtId="0" fontId="30" fillId="3" borderId="43" xfId="0" applyFont="1" applyFill="1" applyBorder="1" applyAlignment="1" applyProtection="1">
      <alignment horizontal="center" vertical="center" wrapText="1"/>
    </xf>
    <xf numFmtId="0" fontId="30" fillId="0" borderId="45" xfId="0" applyFont="1" applyBorder="1" applyProtection="1"/>
    <xf numFmtId="0" fontId="30" fillId="2" borderId="49" xfId="0" applyFont="1" applyFill="1" applyBorder="1" applyAlignment="1" applyProtection="1">
      <alignment horizontal="centerContinuous"/>
    </xf>
    <xf numFmtId="0" fontId="30" fillId="2" borderId="50" xfId="0" applyFont="1" applyFill="1" applyBorder="1" applyProtection="1"/>
    <xf numFmtId="0" fontId="30" fillId="2" borderId="56" xfId="0" applyFont="1" applyFill="1" applyBorder="1" applyAlignment="1" applyProtection="1">
      <alignment horizontal="centerContinuous"/>
    </xf>
    <xf numFmtId="165" fontId="30" fillId="0" borderId="0" xfId="0" applyNumberFormat="1" applyFont="1" applyFill="1" applyAlignment="1" applyProtection="1">
      <alignment horizontal="center"/>
    </xf>
    <xf numFmtId="0" fontId="30" fillId="7" borderId="39" xfId="0" applyFont="1" applyFill="1" applyBorder="1" applyAlignment="1" applyProtection="1">
      <alignment horizontal="center" vertical="center"/>
    </xf>
    <xf numFmtId="0" fontId="30" fillId="7" borderId="65" xfId="0" applyFont="1" applyFill="1" applyBorder="1" applyAlignment="1" applyProtection="1">
      <alignment horizontal="center" vertical="center"/>
    </xf>
    <xf numFmtId="0" fontId="33" fillId="0" borderId="5" xfId="0" applyFont="1" applyFill="1" applyBorder="1" applyAlignment="1" applyProtection="1">
      <alignment horizontal="center" vertical="center"/>
      <protection locked="0"/>
    </xf>
    <xf numFmtId="166" fontId="32" fillId="0" borderId="0" xfId="0" applyNumberFormat="1" applyFont="1" applyFill="1" applyProtection="1"/>
    <xf numFmtId="0" fontId="30" fillId="0" borderId="0" xfId="0" applyFont="1" applyProtection="1"/>
    <xf numFmtId="0" fontId="32" fillId="0" borderId="0" xfId="0" applyFont="1" applyFill="1" applyProtection="1"/>
    <xf numFmtId="0" fontId="30" fillId="2" borderId="0" xfId="0" applyFont="1" applyFill="1" applyBorder="1" applyProtection="1"/>
    <xf numFmtId="0" fontId="30" fillId="0" borderId="0" xfId="0" applyFont="1" applyFill="1" applyBorder="1" applyProtection="1"/>
    <xf numFmtId="2" fontId="30" fillId="0" borderId="0" xfId="0" applyNumberFormat="1" applyFont="1" applyFill="1" applyBorder="1" applyProtection="1"/>
    <xf numFmtId="2" fontId="30" fillId="0" borderId="0" xfId="0" applyNumberFormat="1" applyFont="1" applyFill="1" applyProtection="1"/>
    <xf numFmtId="0" fontId="30" fillId="2" borderId="56" xfId="0" applyFont="1" applyFill="1" applyBorder="1" applyProtection="1"/>
    <xf numFmtId="0" fontId="30" fillId="2" borderId="0" xfId="0" applyFont="1" applyFill="1" applyBorder="1" applyProtection="1">
      <protection locked="0"/>
    </xf>
    <xf numFmtId="0" fontId="30" fillId="2" borderId="9" xfId="0" applyFont="1" applyFill="1" applyBorder="1" applyProtection="1">
      <protection locked="0"/>
    </xf>
    <xf numFmtId="0" fontId="30" fillId="0" borderId="13" xfId="0" applyFont="1" applyBorder="1" applyProtection="1">
      <protection locked="0"/>
    </xf>
    <xf numFmtId="0" fontId="30" fillId="2" borderId="13" xfId="0" applyFont="1" applyFill="1" applyBorder="1" applyProtection="1">
      <protection locked="0"/>
    </xf>
    <xf numFmtId="2" fontId="30" fillId="0" borderId="0" xfId="0" applyNumberFormat="1" applyFont="1" applyFill="1" applyBorder="1" applyAlignment="1" applyProtection="1">
      <alignment horizontal="left" vertical="center"/>
    </xf>
    <xf numFmtId="2" fontId="30" fillId="0" borderId="0" xfId="0" applyNumberFormat="1" applyFont="1" applyFill="1" applyBorder="1" applyAlignment="1" applyProtection="1">
      <alignment horizontal="right"/>
    </xf>
    <xf numFmtId="0" fontId="30" fillId="0" borderId="0" xfId="0" applyFont="1" applyFill="1" applyBorder="1" applyAlignment="1" applyProtection="1">
      <alignment horizontal="left" vertical="center"/>
    </xf>
    <xf numFmtId="2" fontId="30" fillId="0" borderId="0" xfId="0" applyNumberFormat="1" applyFont="1" applyBorder="1" applyProtection="1"/>
    <xf numFmtId="1" fontId="30" fillId="0" borderId="0" xfId="0" applyNumberFormat="1" applyFont="1" applyFill="1" applyProtection="1"/>
    <xf numFmtId="166" fontId="30" fillId="0" borderId="0" xfId="0" applyNumberFormat="1" applyFont="1" applyFill="1" applyProtection="1"/>
    <xf numFmtId="165" fontId="30" fillId="0" borderId="0" xfId="0" applyNumberFormat="1" applyFont="1" applyFill="1" applyBorder="1" applyProtection="1"/>
    <xf numFmtId="165" fontId="30" fillId="0" borderId="0" xfId="0" applyNumberFormat="1" applyFont="1" applyFill="1" applyProtection="1"/>
    <xf numFmtId="0" fontId="30" fillId="7" borderId="5" xfId="0" applyFont="1" applyFill="1" applyBorder="1" applyAlignment="1" applyProtection="1">
      <alignment vertical="center"/>
    </xf>
    <xf numFmtId="165" fontId="30" fillId="6" borderId="0" xfId="0" applyNumberFormat="1" applyFont="1" applyFill="1" applyAlignment="1" applyProtection="1">
      <alignment horizontal="center"/>
      <protection locked="0"/>
    </xf>
    <xf numFmtId="0" fontId="30" fillId="0" borderId="0" xfId="0" applyFont="1" applyFill="1" applyBorder="1" applyAlignment="1" applyProtection="1">
      <alignment horizontal="center" vertical="center" wrapText="1"/>
    </xf>
    <xf numFmtId="0" fontId="30" fillId="0" borderId="7" xfId="0" applyFont="1" applyFill="1" applyBorder="1" applyAlignment="1" applyProtection="1">
      <alignment horizontal="center" vertical="center" wrapText="1"/>
    </xf>
    <xf numFmtId="0" fontId="30" fillId="2" borderId="11" xfId="0" applyFont="1" applyFill="1" applyBorder="1" applyProtection="1"/>
    <xf numFmtId="0" fontId="34" fillId="0" borderId="9" xfId="0" applyFont="1" applyBorder="1" applyProtection="1"/>
    <xf numFmtId="0" fontId="30" fillId="2" borderId="27" xfId="0" applyFont="1" applyFill="1" applyBorder="1" applyAlignment="1" applyProtection="1">
      <alignment horizontal="centerContinuous"/>
    </xf>
    <xf numFmtId="165" fontId="30" fillId="0" borderId="0" xfId="0" applyNumberFormat="1" applyFont="1" applyBorder="1" applyAlignment="1" applyProtection="1"/>
    <xf numFmtId="2" fontId="30" fillId="0" borderId="0" xfId="0" applyNumberFormat="1" applyFont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 vertical="center"/>
    </xf>
    <xf numFmtId="165" fontId="30" fillId="0" borderId="0" xfId="0" applyNumberFormat="1" applyFont="1" applyBorder="1" applyAlignment="1" applyProtection="1">
      <alignment horizontal="center" vertical="center"/>
    </xf>
    <xf numFmtId="0" fontId="30" fillId="0" borderId="13" xfId="0" applyFont="1" applyBorder="1" applyAlignment="1" applyProtection="1">
      <alignment horizontal="left" vertical="center"/>
    </xf>
    <xf numFmtId="0" fontId="30" fillId="2" borderId="76" xfId="0" applyFont="1" applyFill="1" applyBorder="1" applyAlignment="1" applyProtection="1">
      <alignment horizontal="center" vertical="center" wrapText="1"/>
    </xf>
    <xf numFmtId="0" fontId="30" fillId="2" borderId="63" xfId="0" applyFont="1" applyFill="1" applyBorder="1" applyAlignment="1" applyProtection="1">
      <alignment horizontal="center" vertical="center" wrapText="1"/>
    </xf>
    <xf numFmtId="0" fontId="30" fillId="2" borderId="36" xfId="0" applyFont="1" applyFill="1" applyBorder="1" applyAlignment="1" applyProtection="1">
      <alignment horizontal="center" vertical="center" wrapText="1"/>
    </xf>
    <xf numFmtId="0" fontId="30" fillId="2" borderId="35" xfId="0" applyFont="1" applyFill="1" applyBorder="1" applyAlignment="1" applyProtection="1">
      <alignment horizontal="center" vertical="center" wrapText="1"/>
    </xf>
    <xf numFmtId="0" fontId="30" fillId="2" borderId="77" xfId="0" applyFont="1" applyFill="1" applyBorder="1" applyAlignment="1" applyProtection="1">
      <alignment horizontal="center" vertical="center" wrapText="1"/>
    </xf>
    <xf numFmtId="0" fontId="30" fillId="2" borderId="0" xfId="0" applyFont="1" applyFill="1" applyBorder="1" applyAlignment="1" applyProtection="1">
      <alignment vertical="center"/>
    </xf>
    <xf numFmtId="0" fontId="30" fillId="2" borderId="56" xfId="0" applyFont="1" applyFill="1" applyBorder="1" applyAlignment="1" applyProtection="1">
      <alignment vertical="center"/>
    </xf>
    <xf numFmtId="0" fontId="30" fillId="2" borderId="80" xfId="0" applyFont="1" applyFill="1" applyBorder="1" applyAlignment="1" applyProtection="1">
      <alignment vertical="center"/>
    </xf>
    <xf numFmtId="0" fontId="30" fillId="2" borderId="82" xfId="0" applyFont="1" applyFill="1" applyBorder="1" applyAlignment="1" applyProtection="1">
      <alignment vertical="center"/>
    </xf>
    <xf numFmtId="0" fontId="1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30" fillId="2" borderId="78" xfId="0" applyFont="1" applyFill="1" applyBorder="1" applyAlignment="1" applyProtection="1">
      <alignment horizontal="left" vertical="center"/>
    </xf>
    <xf numFmtId="0" fontId="30" fillId="2" borderId="73" xfId="0" applyFont="1" applyFill="1" applyBorder="1" applyAlignment="1" applyProtection="1">
      <alignment horizontal="left" vertical="center"/>
    </xf>
    <xf numFmtId="0" fontId="30" fillId="2" borderId="74" xfId="0" applyFont="1" applyFill="1" applyBorder="1" applyAlignment="1" applyProtection="1">
      <alignment horizontal="left" vertical="center"/>
    </xf>
    <xf numFmtId="0" fontId="30" fillId="2" borderId="79" xfId="0" applyFont="1" applyFill="1" applyBorder="1" applyAlignment="1" applyProtection="1">
      <alignment horizontal="left" vertical="center"/>
    </xf>
    <xf numFmtId="0" fontId="30" fillId="2" borderId="80" xfId="0" applyFont="1" applyFill="1" applyBorder="1" applyAlignment="1" applyProtection="1">
      <alignment horizontal="left" vertical="center"/>
    </xf>
    <xf numFmtId="0" fontId="30" fillId="2" borderId="81" xfId="0" applyFont="1" applyFill="1" applyBorder="1" applyAlignment="1" applyProtection="1">
      <alignment horizontal="left" vertic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30" fillId="0" borderId="0" xfId="0" applyFont="1" applyBorder="1" applyAlignment="1" applyProtection="1">
      <alignment horizontal="center"/>
    </xf>
    <xf numFmtId="165" fontId="30" fillId="0" borderId="0" xfId="0" applyNumberFormat="1" applyFont="1" applyBorder="1" applyAlignment="1" applyProtection="1">
      <alignment horizontal="center" vertical="center"/>
    </xf>
    <xf numFmtId="0" fontId="30" fillId="0" borderId="57" xfId="0" applyFont="1" applyBorder="1" applyAlignment="1" applyProtection="1">
      <alignment horizontal="left" vertical="center"/>
    </xf>
    <xf numFmtId="0" fontId="30" fillId="0" borderId="52" xfId="0" applyFont="1" applyBorder="1" applyAlignment="1" applyProtection="1">
      <alignment horizontal="left" vertical="center"/>
    </xf>
    <xf numFmtId="0" fontId="30" fillId="0" borderId="60" xfId="0" applyFont="1" applyBorder="1" applyAlignment="1" applyProtection="1">
      <alignment horizontal="left" vertical="center"/>
    </xf>
    <xf numFmtId="0" fontId="30" fillId="0" borderId="61" xfId="0" applyFont="1" applyBorder="1" applyAlignment="1" applyProtection="1">
      <alignment horizontal="left" vertical="center"/>
    </xf>
    <xf numFmtId="0" fontId="30" fillId="0" borderId="13" xfId="0" applyFont="1" applyFill="1" applyBorder="1" applyAlignment="1" applyProtection="1">
      <alignment horizontal="left" vertical="center" wrapText="1"/>
    </xf>
    <xf numFmtId="0" fontId="30" fillId="0" borderId="14" xfId="0" applyFont="1" applyFill="1" applyBorder="1" applyAlignment="1" applyProtection="1">
      <alignment horizontal="left" vertical="center" wrapText="1"/>
    </xf>
    <xf numFmtId="0" fontId="30" fillId="2" borderId="72" xfId="0" applyFont="1" applyFill="1" applyBorder="1" applyAlignment="1" applyProtection="1">
      <alignment vertical="center"/>
    </xf>
    <xf numFmtId="0" fontId="30" fillId="2" borderId="73" xfId="0" applyFont="1" applyFill="1" applyBorder="1" applyAlignment="1" applyProtection="1">
      <alignment vertical="center"/>
    </xf>
    <xf numFmtId="0" fontId="30" fillId="5" borderId="35" xfId="0" applyFont="1" applyFill="1" applyBorder="1" applyAlignment="1" applyProtection="1">
      <alignment horizontal="center" vertical="center" wrapText="1"/>
    </xf>
    <xf numFmtId="0" fontId="30" fillId="5" borderId="63" xfId="0" applyFont="1" applyFill="1" applyBorder="1" applyAlignment="1" applyProtection="1">
      <alignment horizontal="center" vertical="center" wrapText="1"/>
    </xf>
    <xf numFmtId="0" fontId="30" fillId="5" borderId="36" xfId="0" applyFont="1" applyFill="1" applyBorder="1" applyAlignment="1" applyProtection="1">
      <alignment horizontal="center" vertical="center" wrapText="1"/>
    </xf>
    <xf numFmtId="0" fontId="30" fillId="0" borderId="38" xfId="0" applyFont="1" applyBorder="1" applyAlignment="1" applyProtection="1">
      <alignment horizontal="left" vertical="center"/>
    </xf>
    <xf numFmtId="0" fontId="30" fillId="0" borderId="39" xfId="0" applyFont="1" applyBorder="1" applyAlignment="1" applyProtection="1">
      <alignment horizontal="left" vertical="center"/>
    </xf>
    <xf numFmtId="0" fontId="30" fillId="7" borderId="57" xfId="0" applyFont="1" applyFill="1" applyBorder="1" applyAlignment="1" applyProtection="1">
      <alignment horizontal="left" vertical="center"/>
    </xf>
    <xf numFmtId="0" fontId="30" fillId="7" borderId="52" xfId="0" applyFont="1" applyFill="1" applyBorder="1" applyAlignment="1" applyProtection="1">
      <alignment horizontal="left" vertical="center"/>
    </xf>
    <xf numFmtId="0" fontId="22" fillId="0" borderId="0" xfId="0" applyFont="1" applyBorder="1" applyAlignment="1" applyProtection="1">
      <alignment horizontal="center"/>
    </xf>
    <xf numFmtId="0" fontId="30" fillId="7" borderId="60" xfId="0" applyFont="1" applyFill="1" applyBorder="1" applyAlignment="1" applyProtection="1">
      <alignment horizontal="left" vertical="center"/>
    </xf>
    <xf numFmtId="0" fontId="30" fillId="7" borderId="61" xfId="0" applyFont="1" applyFill="1" applyBorder="1" applyAlignment="1" applyProtection="1">
      <alignment horizontal="left" vertical="center"/>
    </xf>
    <xf numFmtId="0" fontId="30" fillId="0" borderId="13" xfId="0" applyFont="1" applyFill="1" applyBorder="1" applyAlignment="1" applyProtection="1">
      <alignment horizontal="center" vertical="center" wrapText="1"/>
    </xf>
    <xf numFmtId="0" fontId="30" fillId="0" borderId="14" xfId="0" applyFont="1" applyFill="1" applyBorder="1" applyAlignment="1" applyProtection="1">
      <alignment horizontal="center" vertical="center" wrapText="1"/>
    </xf>
    <xf numFmtId="0" fontId="30" fillId="2" borderId="39" xfId="0" applyFont="1" applyFill="1" applyBorder="1" applyAlignment="1" applyProtection="1">
      <alignment horizontal="center" vertical="center"/>
    </xf>
    <xf numFmtId="0" fontId="30" fillId="2" borderId="47" xfId="0" applyFont="1" applyFill="1" applyBorder="1" applyAlignment="1" applyProtection="1">
      <alignment horizontal="center" vertical="center"/>
    </xf>
    <xf numFmtId="0" fontId="30" fillId="2" borderId="40" xfId="0" applyFont="1" applyFill="1" applyBorder="1" applyAlignment="1" applyProtection="1">
      <alignment horizontal="center" vertical="center"/>
    </xf>
    <xf numFmtId="0" fontId="30" fillId="2" borderId="48" xfId="0" applyFont="1" applyFill="1" applyBorder="1" applyAlignment="1" applyProtection="1">
      <alignment horizontal="center" vertical="center"/>
    </xf>
    <xf numFmtId="0" fontId="30" fillId="0" borderId="51" xfId="0" applyFont="1" applyBorder="1" applyAlignment="1" applyProtection="1">
      <alignment horizontal="left" vertical="center"/>
    </xf>
    <xf numFmtId="0" fontId="30" fillId="0" borderId="54" xfId="0" applyFont="1" applyBorder="1" applyAlignment="1" applyProtection="1">
      <alignment horizontal="left" vertical="center"/>
    </xf>
    <xf numFmtId="0" fontId="30" fillId="7" borderId="35" xfId="0" applyFont="1" applyFill="1" applyBorder="1" applyAlignment="1" applyProtection="1">
      <alignment horizontal="center" vertical="center"/>
    </xf>
    <xf numFmtId="0" fontId="30" fillId="7" borderId="63" xfId="0" applyFont="1" applyFill="1" applyBorder="1" applyAlignment="1" applyProtection="1">
      <alignment horizontal="center" vertical="center"/>
    </xf>
    <xf numFmtId="0" fontId="30" fillId="7" borderId="64" xfId="0" applyFont="1" applyFill="1" applyBorder="1" applyAlignment="1" applyProtection="1">
      <alignment horizontal="center" vertical="center" wrapText="1"/>
    </xf>
    <xf numFmtId="0" fontId="30" fillId="7" borderId="66" xfId="0" applyFont="1" applyFill="1" applyBorder="1" applyAlignment="1" applyProtection="1">
      <alignment horizontal="center" vertical="center" wrapText="1"/>
    </xf>
    <xf numFmtId="0" fontId="30" fillId="7" borderId="38" xfId="0" applyFont="1" applyFill="1" applyBorder="1" applyAlignment="1" applyProtection="1">
      <alignment horizontal="center" vertical="center"/>
    </xf>
    <xf numFmtId="0" fontId="30" fillId="7" borderId="39" xfId="0" applyFont="1" applyFill="1" applyBorder="1" applyAlignment="1" applyProtection="1">
      <alignment horizontal="center" vertical="center"/>
    </xf>
    <xf numFmtId="0" fontId="30" fillId="0" borderId="12" xfId="0" applyFont="1" applyBorder="1" applyAlignment="1" applyProtection="1">
      <alignment horizontal="left" vertical="center"/>
    </xf>
    <xf numFmtId="0" fontId="30" fillId="0" borderId="13" xfId="0" applyFont="1" applyBorder="1" applyAlignment="1" applyProtection="1">
      <alignment horizontal="left" vertical="center"/>
    </xf>
    <xf numFmtId="0" fontId="30" fillId="0" borderId="15" xfId="0" applyFont="1" applyBorder="1" applyAlignment="1" applyProtection="1">
      <alignment horizontal="left" vertical="center"/>
    </xf>
    <xf numFmtId="0" fontId="30" fillId="0" borderId="16" xfId="0" applyFont="1" applyFill="1" applyBorder="1" applyAlignment="1" applyProtection="1">
      <alignment horizontal="left" vertical="center" wrapText="1"/>
    </xf>
    <xf numFmtId="0" fontId="30" fillId="0" borderId="17" xfId="0" applyFont="1" applyFill="1" applyBorder="1" applyAlignment="1" applyProtection="1">
      <alignment horizontal="left" vertical="center" wrapText="1"/>
    </xf>
    <xf numFmtId="0" fontId="30" fillId="2" borderId="21" xfId="0" applyFont="1" applyFill="1" applyBorder="1" applyAlignment="1" applyProtection="1">
      <alignment horizontal="center" vertical="center" wrapText="1"/>
    </xf>
    <xf numFmtId="0" fontId="30" fillId="2" borderId="22" xfId="0" applyFont="1" applyFill="1" applyBorder="1" applyAlignment="1" applyProtection="1">
      <alignment horizontal="center" vertical="center" wrapText="1"/>
    </xf>
    <xf numFmtId="0" fontId="30" fillId="2" borderId="23" xfId="0" applyFont="1" applyFill="1" applyBorder="1" applyAlignment="1" applyProtection="1">
      <alignment horizontal="center" vertical="center" wrapText="1"/>
    </xf>
    <xf numFmtId="0" fontId="30" fillId="2" borderId="24" xfId="0" applyFont="1" applyFill="1" applyBorder="1" applyAlignment="1" applyProtection="1">
      <alignment horizontal="center" vertical="center" wrapText="1"/>
    </xf>
    <xf numFmtId="0" fontId="30" fillId="2" borderId="25" xfId="0" applyFont="1" applyFill="1" applyBorder="1" applyAlignment="1" applyProtection="1">
      <alignment horizontal="center" vertical="center" wrapText="1"/>
    </xf>
    <xf numFmtId="0" fontId="30" fillId="2" borderId="26" xfId="0" applyFont="1" applyFill="1" applyBorder="1" applyAlignment="1" applyProtection="1">
      <alignment horizontal="center" vertical="center" wrapText="1"/>
    </xf>
    <xf numFmtId="0" fontId="30" fillId="3" borderId="30" xfId="0" applyFont="1" applyFill="1" applyBorder="1" applyAlignment="1" applyProtection="1">
      <alignment horizontal="center" vertical="center"/>
    </xf>
    <xf numFmtId="0" fontId="30" fillId="3" borderId="31" xfId="0" applyFont="1" applyFill="1" applyBorder="1" applyAlignment="1" applyProtection="1">
      <alignment horizontal="center" vertical="center"/>
    </xf>
    <xf numFmtId="0" fontId="30" fillId="3" borderId="32" xfId="0" applyFont="1" applyFill="1" applyBorder="1" applyAlignment="1" applyProtection="1">
      <alignment horizontal="center" vertical="center"/>
    </xf>
    <xf numFmtId="0" fontId="30" fillId="3" borderId="35" xfId="0" applyFont="1" applyFill="1" applyBorder="1" applyAlignment="1" applyProtection="1">
      <alignment horizontal="center" vertical="center"/>
    </xf>
    <xf numFmtId="0" fontId="30" fillId="3" borderId="36" xfId="0" applyFont="1" applyFill="1" applyBorder="1" applyAlignment="1" applyProtection="1">
      <alignment horizontal="center" vertical="center"/>
    </xf>
    <xf numFmtId="0" fontId="30" fillId="3" borderId="37" xfId="0" applyFont="1" applyFill="1" applyBorder="1" applyAlignment="1" applyProtection="1">
      <alignment horizontal="center" vertical="center" wrapText="1"/>
    </xf>
    <xf numFmtId="0" fontId="30" fillId="3" borderId="44" xfId="0" applyFont="1" applyFill="1" applyBorder="1" applyAlignment="1" applyProtection="1">
      <alignment horizontal="center" vertical="center" wrapText="1"/>
    </xf>
    <xf numFmtId="0" fontId="30" fillId="2" borderId="38" xfId="0" applyFont="1" applyFill="1" applyBorder="1" applyAlignment="1" applyProtection="1">
      <alignment horizontal="center" vertical="center"/>
    </xf>
    <xf numFmtId="0" fontId="30" fillId="2" borderId="46" xfId="0" applyFont="1" applyFill="1" applyBorder="1" applyAlignment="1" applyProtection="1">
      <alignment horizontal="center" vertical="center"/>
    </xf>
    <xf numFmtId="0" fontId="30" fillId="0" borderId="19" xfId="0" applyFont="1" applyBorder="1" applyAlignment="1" applyProtection="1">
      <alignment horizontal="left" vertical="top"/>
    </xf>
    <xf numFmtId="0" fontId="30" fillId="0" borderId="13" xfId="0" applyFont="1" applyBorder="1" applyAlignment="1" applyProtection="1">
      <alignment horizontal="left" vertical="top"/>
    </xf>
    <xf numFmtId="0" fontId="30" fillId="0" borderId="14" xfId="0" applyFont="1" applyBorder="1" applyAlignment="1" applyProtection="1">
      <alignment horizontal="left" vertical="top"/>
    </xf>
    <xf numFmtId="164" fontId="10" fillId="0" borderId="18" xfId="0" applyNumberFormat="1" applyFont="1" applyFill="1" applyBorder="1" applyAlignment="1" applyProtection="1">
      <alignment horizontal="left"/>
      <protection locked="0"/>
    </xf>
    <xf numFmtId="164" fontId="10" fillId="0" borderId="0" xfId="0" applyNumberFormat="1" applyFont="1" applyFill="1" applyBorder="1" applyAlignment="1" applyProtection="1">
      <alignment horizontal="left"/>
      <protection locked="0"/>
    </xf>
    <xf numFmtId="0" fontId="1" fillId="0" borderId="19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8" fillId="3" borderId="107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10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14" fontId="5" fillId="7" borderId="5" xfId="0" applyNumberFormat="1" applyFont="1" applyFill="1" applyBorder="1" applyAlignment="1" applyProtection="1">
      <alignment horizontal="center" vertical="center"/>
    </xf>
    <xf numFmtId="0" fontId="30" fillId="7" borderId="12" xfId="0" applyFont="1" applyFill="1" applyBorder="1" applyAlignment="1" applyProtection="1">
      <alignment horizontal="center" vertical="center"/>
    </xf>
    <xf numFmtId="0" fontId="30" fillId="7" borderId="13" xfId="0" applyFont="1" applyFill="1" applyBorder="1" applyAlignment="1" applyProtection="1">
      <alignment horizontal="center" vertical="center"/>
    </xf>
    <xf numFmtId="0" fontId="30" fillId="7" borderId="14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30" fillId="7" borderId="5" xfId="0" applyFont="1" applyFill="1" applyBorder="1" applyAlignment="1" applyProtection="1">
      <alignment horizontal="left" vertical="center" wrapText="1"/>
    </xf>
    <xf numFmtId="0" fontId="30" fillId="7" borderId="15" xfId="0" applyFont="1" applyFill="1" applyBorder="1" applyAlignment="1" applyProtection="1">
      <alignment horizontal="center" vertical="center"/>
    </xf>
    <xf numFmtId="0" fontId="4" fillId="2" borderId="76" xfId="0" applyFont="1" applyFill="1" applyBorder="1" applyAlignment="1" applyProtection="1">
      <alignment horizontal="center" vertical="center" wrapText="1"/>
    </xf>
    <xf numFmtId="0" fontId="4" fillId="2" borderId="63" xfId="0" applyFont="1" applyFill="1" applyBorder="1" applyAlignment="1" applyProtection="1">
      <alignment horizontal="center" vertical="center" wrapText="1"/>
    </xf>
    <xf numFmtId="0" fontId="4" fillId="2" borderId="36" xfId="0" applyFont="1" applyFill="1" applyBorder="1" applyAlignment="1" applyProtection="1">
      <alignment horizontal="center" vertical="center" wrapText="1"/>
    </xf>
    <xf numFmtId="0" fontId="4" fillId="2" borderId="35" xfId="0" applyFont="1" applyFill="1" applyBorder="1" applyAlignment="1" applyProtection="1">
      <alignment horizontal="center" vertical="center" wrapText="1"/>
    </xf>
    <xf numFmtId="0" fontId="4" fillId="2" borderId="77" xfId="0" applyFont="1" applyFill="1" applyBorder="1" applyAlignment="1" applyProtection="1">
      <alignment horizontal="center" vertical="center" wrapText="1"/>
    </xf>
    <xf numFmtId="0" fontId="4" fillId="2" borderId="78" xfId="0" applyFont="1" applyFill="1" applyBorder="1" applyAlignment="1" applyProtection="1">
      <alignment vertical="center"/>
    </xf>
    <xf numFmtId="0" fontId="4" fillId="2" borderId="73" xfId="0" applyFont="1" applyFill="1" applyBorder="1" applyAlignment="1" applyProtection="1">
      <alignment vertical="center"/>
    </xf>
    <xf numFmtId="0" fontId="4" fillId="2" borderId="74" xfId="0" applyFont="1" applyFill="1" applyBorder="1" applyAlignment="1" applyProtection="1">
      <alignment vertical="center"/>
    </xf>
    <xf numFmtId="0" fontId="4" fillId="2" borderId="79" xfId="0" applyFont="1" applyFill="1" applyBorder="1" applyAlignment="1" applyProtection="1">
      <alignment vertical="center"/>
    </xf>
    <xf numFmtId="0" fontId="4" fillId="2" borderId="80" xfId="0" applyFont="1" applyFill="1" applyBorder="1" applyAlignment="1" applyProtection="1">
      <alignment vertical="center"/>
    </xf>
    <xf numFmtId="0" fontId="4" fillId="2" borderId="81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4" fillId="2" borderId="56" xfId="0" applyFont="1" applyFill="1" applyBorder="1" applyAlignment="1" applyProtection="1">
      <alignment vertical="center"/>
    </xf>
    <xf numFmtId="0" fontId="4" fillId="2" borderId="82" xfId="0" applyFont="1" applyFill="1" applyBorder="1" applyAlignment="1" applyProtection="1">
      <alignment vertical="center"/>
    </xf>
    <xf numFmtId="165" fontId="0" fillId="0" borderId="0" xfId="0" applyNumberFormat="1" applyBorder="1" applyAlignment="1" applyProtection="1">
      <alignment horizontal="center" vertical="center"/>
    </xf>
    <xf numFmtId="0" fontId="4" fillId="0" borderId="57" xfId="0" applyFont="1" applyBorder="1" applyAlignment="1" applyProtection="1">
      <alignment horizontal="left" vertical="center"/>
    </xf>
    <xf numFmtId="0" fontId="4" fillId="0" borderId="52" xfId="0" applyFont="1" applyBorder="1" applyAlignment="1" applyProtection="1">
      <alignment horizontal="left" vertical="center"/>
    </xf>
    <xf numFmtId="0" fontId="5" fillId="0" borderId="60" xfId="0" applyFont="1" applyBorder="1" applyAlignment="1" applyProtection="1">
      <alignment horizontal="left" vertical="center"/>
    </xf>
    <xf numFmtId="0" fontId="5" fillId="0" borderId="61" xfId="0" applyFont="1" applyBorder="1" applyAlignment="1" applyProtection="1">
      <alignment horizontal="left" vertical="center"/>
    </xf>
    <xf numFmtId="165" fontId="1" fillId="0" borderId="0" xfId="0" applyNumberFormat="1" applyFont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left" vertical="center" wrapText="1"/>
    </xf>
    <xf numFmtId="0" fontId="11" fillId="0" borderId="14" xfId="0" applyFont="1" applyFill="1" applyBorder="1" applyAlignment="1" applyProtection="1">
      <alignment horizontal="left" vertical="center" wrapText="1"/>
    </xf>
    <xf numFmtId="0" fontId="3" fillId="2" borderId="72" xfId="0" applyFont="1" applyFill="1" applyBorder="1" applyAlignment="1" applyProtection="1">
      <alignment vertical="center"/>
    </xf>
    <xf numFmtId="0" fontId="3" fillId="2" borderId="73" xfId="0" applyFont="1" applyFill="1" applyBorder="1" applyAlignment="1" applyProtection="1">
      <alignment vertical="center"/>
    </xf>
    <xf numFmtId="0" fontId="5" fillId="5" borderId="35" xfId="0" applyFont="1" applyFill="1" applyBorder="1" applyAlignment="1" applyProtection="1">
      <alignment horizontal="center" vertical="center" wrapText="1"/>
    </xf>
    <xf numFmtId="0" fontId="5" fillId="5" borderId="63" xfId="0" applyFont="1" applyFill="1" applyBorder="1" applyAlignment="1" applyProtection="1">
      <alignment horizontal="center" vertical="center" wrapText="1"/>
    </xf>
    <xf numFmtId="0" fontId="5" fillId="5" borderId="36" xfId="0" applyFont="1" applyFill="1" applyBorder="1" applyAlignment="1" applyProtection="1">
      <alignment horizontal="center" vertical="center" wrapText="1"/>
    </xf>
    <xf numFmtId="0" fontId="5" fillId="0" borderId="38" xfId="0" applyFont="1" applyBorder="1" applyAlignment="1" applyProtection="1">
      <alignment horizontal="left" vertical="center"/>
    </xf>
    <xf numFmtId="0" fontId="5" fillId="0" borderId="39" xfId="0" applyFont="1" applyBorder="1" applyAlignment="1" applyProtection="1">
      <alignment horizontal="left" vertical="center"/>
    </xf>
    <xf numFmtId="0" fontId="5" fillId="0" borderId="57" xfId="0" applyFont="1" applyBorder="1" applyAlignment="1" applyProtection="1">
      <alignment horizontal="left" vertical="center"/>
    </xf>
    <xf numFmtId="0" fontId="5" fillId="0" borderId="52" xfId="0" applyFont="1" applyBorder="1" applyAlignment="1" applyProtection="1">
      <alignment horizontal="left" vertical="center"/>
    </xf>
    <xf numFmtId="0" fontId="4" fillId="7" borderId="57" xfId="0" applyFont="1" applyFill="1" applyBorder="1" applyAlignment="1" applyProtection="1">
      <alignment horizontal="left" vertical="center"/>
    </xf>
    <xf numFmtId="0" fontId="4" fillId="7" borderId="52" xfId="0" applyFont="1" applyFill="1" applyBorder="1" applyAlignment="1" applyProtection="1">
      <alignment horizontal="left" vertical="center"/>
    </xf>
    <xf numFmtId="0" fontId="4" fillId="7" borderId="60" xfId="0" applyFont="1" applyFill="1" applyBorder="1" applyAlignment="1" applyProtection="1">
      <alignment horizontal="left" vertical="center"/>
    </xf>
    <xf numFmtId="0" fontId="4" fillId="7" borderId="61" xfId="0" applyFont="1" applyFill="1" applyBorder="1" applyAlignment="1" applyProtection="1">
      <alignment horizontal="left" vertical="center"/>
    </xf>
    <xf numFmtId="0" fontId="11" fillId="0" borderId="13" xfId="0" applyFont="1" applyFill="1" applyBorder="1" applyAlignment="1" applyProtection="1">
      <alignment horizontal="center" vertical="center" wrapText="1"/>
    </xf>
    <xf numFmtId="0" fontId="11" fillId="0" borderId="14" xfId="0" applyFont="1" applyFill="1" applyBorder="1" applyAlignment="1" applyProtection="1">
      <alignment horizontal="center" vertical="center" wrapText="1"/>
    </xf>
    <xf numFmtId="0" fontId="5" fillId="7" borderId="57" xfId="0" applyFont="1" applyFill="1" applyBorder="1" applyAlignment="1" applyProtection="1">
      <alignment horizontal="left" vertical="center"/>
    </xf>
    <xf numFmtId="0" fontId="5" fillId="7" borderId="52" xfId="0" applyFont="1" applyFill="1" applyBorder="1" applyAlignment="1" applyProtection="1">
      <alignment horizontal="left" vertical="center"/>
    </xf>
    <xf numFmtId="0" fontId="3" fillId="2" borderId="39" xfId="0" applyFont="1" applyFill="1" applyBorder="1" applyAlignment="1" applyProtection="1">
      <alignment horizontal="center" vertical="center"/>
    </xf>
    <xf numFmtId="0" fontId="3" fillId="2" borderId="47" xfId="0" applyFont="1" applyFill="1" applyBorder="1" applyAlignment="1" applyProtection="1">
      <alignment horizontal="center" vertical="center"/>
    </xf>
    <xf numFmtId="0" fontId="3" fillId="2" borderId="40" xfId="0" applyFont="1" applyFill="1" applyBorder="1" applyAlignment="1" applyProtection="1">
      <alignment horizontal="center" vertical="center"/>
    </xf>
    <xf numFmtId="0" fontId="3" fillId="2" borderId="48" xfId="0" applyFont="1" applyFill="1" applyBorder="1" applyAlignment="1" applyProtection="1">
      <alignment horizontal="center" vertical="center"/>
    </xf>
    <xf numFmtId="0" fontId="5" fillId="0" borderId="51" xfId="0" applyFont="1" applyBorder="1" applyAlignment="1" applyProtection="1">
      <alignment horizontal="left" vertical="center"/>
    </xf>
    <xf numFmtId="0" fontId="5" fillId="0" borderId="54" xfId="0" applyFont="1" applyBorder="1" applyAlignment="1" applyProtection="1">
      <alignment horizontal="left" vertical="center"/>
    </xf>
    <xf numFmtId="0" fontId="5" fillId="7" borderId="35" xfId="0" applyFont="1" applyFill="1" applyBorder="1" applyAlignment="1" applyProtection="1">
      <alignment horizontal="center" vertical="center"/>
    </xf>
    <xf numFmtId="0" fontId="5" fillId="7" borderId="63" xfId="0" applyFont="1" applyFill="1" applyBorder="1" applyAlignment="1" applyProtection="1">
      <alignment horizontal="center" vertical="center"/>
    </xf>
    <xf numFmtId="0" fontId="8" fillId="7" borderId="64" xfId="0" applyFont="1" applyFill="1" applyBorder="1" applyAlignment="1" applyProtection="1">
      <alignment horizontal="center" vertical="center" wrapText="1"/>
    </xf>
    <xf numFmtId="0" fontId="8" fillId="7" borderId="66" xfId="0" applyFont="1" applyFill="1" applyBorder="1" applyAlignment="1" applyProtection="1">
      <alignment horizontal="center" vertical="center" wrapText="1"/>
    </xf>
    <xf numFmtId="0" fontId="3" fillId="7" borderId="38" xfId="0" applyFont="1" applyFill="1" applyBorder="1" applyAlignment="1" applyProtection="1">
      <alignment horizontal="center" vertical="center"/>
    </xf>
    <xf numFmtId="0" fontId="3" fillId="7" borderId="39" xfId="0" applyFont="1" applyFill="1" applyBorder="1" applyAlignment="1" applyProtection="1">
      <alignment horizontal="center" vertical="center"/>
    </xf>
    <xf numFmtId="0" fontId="1" fillId="0" borderId="12" xfId="0" applyFont="1" applyBorder="1" applyAlignment="1" applyProtection="1">
      <alignment horizontal="left"/>
    </xf>
    <xf numFmtId="0" fontId="1" fillId="0" borderId="13" xfId="0" applyFont="1" applyBorder="1" applyAlignment="1" applyProtection="1">
      <alignment horizontal="left"/>
    </xf>
    <xf numFmtId="0" fontId="1" fillId="0" borderId="15" xfId="0" applyFont="1" applyBorder="1" applyAlignment="1" applyProtection="1">
      <alignment horizontal="left"/>
    </xf>
    <xf numFmtId="0" fontId="9" fillId="0" borderId="16" xfId="0" applyFont="1" applyFill="1" applyBorder="1" applyAlignment="1" applyProtection="1">
      <alignment horizontal="center" vertical="center" wrapText="1"/>
    </xf>
    <xf numFmtId="0" fontId="9" fillId="0" borderId="17" xfId="0" applyFont="1" applyFill="1" applyBorder="1" applyAlignment="1" applyProtection="1">
      <alignment horizontal="center" vertical="center" wrapText="1"/>
    </xf>
    <xf numFmtId="0" fontId="3" fillId="2" borderId="21" xfId="0" applyFont="1" applyFill="1" applyBorder="1" applyAlignment="1" applyProtection="1">
      <alignment horizontal="center" vertical="center" wrapText="1"/>
    </xf>
    <xf numFmtId="0" fontId="3" fillId="2" borderId="22" xfId="0" applyFont="1" applyFill="1" applyBorder="1" applyAlignment="1" applyProtection="1">
      <alignment horizontal="center" vertical="center" wrapText="1"/>
    </xf>
    <xf numFmtId="0" fontId="3" fillId="2" borderId="23" xfId="0" applyFont="1" applyFill="1" applyBorder="1" applyAlignment="1" applyProtection="1">
      <alignment horizontal="center" vertical="center" wrapText="1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25" xfId="0" applyFont="1" applyFill="1" applyBorder="1" applyAlignment="1" applyProtection="1">
      <alignment horizontal="center" vertical="center" wrapText="1"/>
    </xf>
    <xf numFmtId="0" fontId="3" fillId="2" borderId="26" xfId="0" applyFont="1" applyFill="1" applyBorder="1" applyAlignment="1" applyProtection="1">
      <alignment horizontal="center" vertical="center" wrapText="1"/>
    </xf>
    <xf numFmtId="0" fontId="5" fillId="3" borderId="30" xfId="0" applyFont="1" applyFill="1" applyBorder="1" applyAlignment="1" applyProtection="1">
      <alignment horizontal="center" vertical="center"/>
    </xf>
    <xf numFmtId="0" fontId="5" fillId="3" borderId="31" xfId="0" applyFont="1" applyFill="1" applyBorder="1" applyAlignment="1" applyProtection="1">
      <alignment horizontal="center" vertical="center"/>
    </xf>
    <xf numFmtId="0" fontId="5" fillId="3" borderId="32" xfId="0" applyFont="1" applyFill="1" applyBorder="1" applyAlignment="1" applyProtection="1">
      <alignment horizontal="center" vertical="center"/>
    </xf>
    <xf numFmtId="0" fontId="5" fillId="3" borderId="35" xfId="0" applyFont="1" applyFill="1" applyBorder="1" applyAlignment="1" applyProtection="1">
      <alignment horizontal="center"/>
    </xf>
    <xf numFmtId="0" fontId="5" fillId="3" borderId="36" xfId="0" applyFont="1" applyFill="1" applyBorder="1" applyAlignment="1" applyProtection="1">
      <alignment horizontal="center"/>
    </xf>
    <xf numFmtId="0" fontId="16" fillId="3" borderId="37" xfId="0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 applyProtection="1">
      <alignment horizontal="center" vertical="center" wrapText="1"/>
    </xf>
    <xf numFmtId="0" fontId="17" fillId="3" borderId="37" xfId="0" applyFont="1" applyFill="1" applyBorder="1" applyAlignment="1" applyProtection="1">
      <alignment horizontal="center" vertical="center" wrapText="1"/>
    </xf>
    <xf numFmtId="0" fontId="17" fillId="3" borderId="44" xfId="0" applyFont="1" applyFill="1" applyBorder="1" applyAlignment="1" applyProtection="1">
      <alignment horizontal="center" vertical="center" wrapText="1"/>
    </xf>
    <xf numFmtId="0" fontId="3" fillId="2" borderId="38" xfId="0" applyFont="1" applyFill="1" applyBorder="1" applyAlignment="1" applyProtection="1">
      <alignment horizontal="center" vertical="center"/>
    </xf>
    <xf numFmtId="0" fontId="3" fillId="2" borderId="46" xfId="0" applyFont="1" applyFill="1" applyBorder="1" applyAlignment="1" applyProtection="1">
      <alignment horizontal="center" vertical="center"/>
    </xf>
    <xf numFmtId="0" fontId="1" fillId="0" borderId="19" xfId="0" applyFont="1" applyBorder="1" applyAlignment="1" applyProtection="1">
      <alignment horizontal="left"/>
    </xf>
    <xf numFmtId="0" fontId="1" fillId="0" borderId="14" xfId="0" applyFont="1" applyBorder="1" applyAlignment="1" applyProtection="1">
      <alignment horizontal="left"/>
    </xf>
    <xf numFmtId="0" fontId="1" fillId="0" borderId="5" xfId="0" applyFont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164" fontId="5" fillId="7" borderId="5" xfId="0" applyNumberFormat="1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horizont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/>
    </xf>
    <xf numFmtId="0" fontId="8" fillId="7" borderId="5" xfId="0" applyFont="1" applyFill="1" applyBorder="1" applyAlignment="1" applyProtection="1">
      <alignment horizontal="left" vertical="center" wrapText="1"/>
    </xf>
    <xf numFmtId="0" fontId="4" fillId="7" borderId="12" xfId="0" applyFont="1" applyFill="1" applyBorder="1" applyAlignment="1" applyProtection="1">
      <alignment horizontal="center" vertical="center"/>
    </xf>
    <xf numFmtId="0" fontId="4" fillId="7" borderId="15" xfId="0" applyFont="1" applyFill="1" applyBorder="1" applyAlignment="1" applyProtection="1">
      <alignment horizontal="center" vertical="center"/>
    </xf>
    <xf numFmtId="0" fontId="9" fillId="0" borderId="106" xfId="0" applyFont="1" applyFill="1" applyBorder="1" applyAlignment="1" applyProtection="1">
      <alignment horizontal="center" vertical="center" wrapText="1"/>
    </xf>
    <xf numFmtId="164" fontId="5" fillId="7" borderId="12" xfId="0" applyNumberFormat="1" applyFont="1" applyFill="1" applyBorder="1" applyAlignment="1" applyProtection="1">
      <alignment horizontal="center" vertical="center"/>
    </xf>
    <xf numFmtId="164" fontId="5" fillId="7" borderId="13" xfId="0" applyNumberFormat="1" applyFont="1" applyFill="1" applyBorder="1" applyAlignment="1" applyProtection="1">
      <alignment horizontal="center" vertical="center"/>
    </xf>
    <xf numFmtId="164" fontId="5" fillId="7" borderId="14" xfId="0" applyNumberFormat="1" applyFont="1" applyFill="1" applyBorder="1" applyAlignment="1" applyProtection="1">
      <alignment horizontal="center" vertical="center"/>
    </xf>
    <xf numFmtId="0" fontId="4" fillId="7" borderId="12" xfId="0" applyFont="1" applyFill="1" applyBorder="1" applyAlignment="1" applyProtection="1">
      <alignment horizontal="center"/>
    </xf>
    <xf numFmtId="0" fontId="4" fillId="7" borderId="13" xfId="0" applyFont="1" applyFill="1" applyBorder="1" applyAlignment="1" applyProtection="1">
      <alignment horizontal="center"/>
    </xf>
    <xf numFmtId="0" fontId="4" fillId="7" borderId="14" xfId="0" applyFont="1" applyFill="1" applyBorder="1" applyAlignment="1" applyProtection="1">
      <alignment horizontal="center"/>
    </xf>
    <xf numFmtId="0" fontId="8" fillId="7" borderId="12" xfId="0" applyFont="1" applyFill="1" applyBorder="1" applyAlignment="1" applyProtection="1">
      <alignment horizontal="left" vertical="center" wrapText="1"/>
    </xf>
    <xf numFmtId="0" fontId="8" fillId="7" borderId="14" xfId="0" applyFont="1" applyFill="1" applyBorder="1" applyAlignment="1" applyProtection="1">
      <alignment horizontal="left" vertical="center" wrapText="1"/>
    </xf>
    <xf numFmtId="0" fontId="5" fillId="3" borderId="103" xfId="0" applyFont="1" applyFill="1" applyBorder="1" applyAlignment="1" applyProtection="1">
      <alignment horizontal="center" vertical="center"/>
    </xf>
    <xf numFmtId="0" fontId="5" fillId="3" borderId="104" xfId="0" applyFont="1" applyFill="1" applyBorder="1" applyAlignment="1" applyProtection="1">
      <alignment horizontal="center" vertical="center"/>
    </xf>
    <xf numFmtId="0" fontId="5" fillId="3" borderId="105" xfId="0" applyFont="1" applyFill="1" applyBorder="1" applyAlignment="1" applyProtection="1">
      <alignment horizontal="center" vertical="center"/>
    </xf>
    <xf numFmtId="0" fontId="3" fillId="2" borderId="72" xfId="0" applyFont="1" applyFill="1" applyBorder="1" applyAlignment="1" applyProtection="1">
      <alignment horizontal="center" vertical="center"/>
    </xf>
    <xf numFmtId="0" fontId="3" fillId="2" borderId="100" xfId="0" applyFont="1" applyFill="1" applyBorder="1" applyAlignment="1" applyProtection="1">
      <alignment horizontal="center" vertical="center"/>
    </xf>
    <xf numFmtId="0" fontId="3" fillId="2" borderId="101" xfId="0" applyFont="1" applyFill="1" applyBorder="1" applyAlignment="1" applyProtection="1">
      <alignment horizontal="center" vertical="center"/>
    </xf>
    <xf numFmtId="0" fontId="3" fillId="2" borderId="102" xfId="0" applyFont="1" applyFill="1" applyBorder="1" applyAlignment="1" applyProtection="1">
      <alignment horizontal="center" vertical="center"/>
    </xf>
    <xf numFmtId="0" fontId="3" fillId="2" borderId="98" xfId="0" applyFont="1" applyFill="1" applyBorder="1" applyAlignment="1" applyProtection="1">
      <alignment horizontal="center" vertical="center"/>
    </xf>
    <xf numFmtId="0" fontId="3" fillId="2" borderId="99" xfId="0" applyFont="1" applyFill="1" applyBorder="1" applyAlignment="1" applyProtection="1">
      <alignment horizontal="center" vertical="center"/>
    </xf>
    <xf numFmtId="0" fontId="5" fillId="7" borderId="87" xfId="0" applyFont="1" applyFill="1" applyBorder="1" applyAlignment="1" applyProtection="1">
      <alignment horizontal="left" vertical="center"/>
    </xf>
    <xf numFmtId="0" fontId="5" fillId="7" borderId="58" xfId="0" applyFont="1" applyFill="1" applyBorder="1" applyAlignment="1" applyProtection="1">
      <alignment horizontal="left" vertical="center"/>
    </xf>
    <xf numFmtId="0" fontId="3" fillId="2" borderId="96" xfId="0" applyFont="1" applyFill="1" applyBorder="1" applyAlignment="1" applyProtection="1">
      <alignment horizontal="center" vertical="center"/>
    </xf>
    <xf numFmtId="0" fontId="3" fillId="2" borderId="97" xfId="0" applyFont="1" applyFill="1" applyBorder="1" applyAlignment="1" applyProtection="1">
      <alignment horizontal="center" vertical="center"/>
    </xf>
    <xf numFmtId="0" fontId="5" fillId="0" borderId="94" xfId="0" applyFont="1" applyBorder="1" applyAlignment="1" applyProtection="1">
      <alignment horizontal="left" vertical="center"/>
    </xf>
    <xf numFmtId="0" fontId="5" fillId="0" borderId="95" xfId="0" applyFont="1" applyBorder="1" applyAlignment="1" applyProtection="1">
      <alignment horizontal="left" vertical="center"/>
    </xf>
    <xf numFmtId="0" fontId="4" fillId="7" borderId="87" xfId="0" applyFont="1" applyFill="1" applyBorder="1" applyAlignment="1" applyProtection="1">
      <alignment horizontal="left" vertical="center"/>
    </xf>
    <xf numFmtId="0" fontId="4" fillId="7" borderId="58" xfId="0" applyFont="1" applyFill="1" applyBorder="1" applyAlignment="1" applyProtection="1">
      <alignment horizontal="left" vertical="center"/>
    </xf>
    <xf numFmtId="0" fontId="4" fillId="7" borderId="85" xfId="0" applyFont="1" applyFill="1" applyBorder="1" applyAlignment="1" applyProtection="1">
      <alignment horizontal="left" vertical="center"/>
    </xf>
    <xf numFmtId="0" fontId="4" fillId="7" borderId="69" xfId="0" applyFont="1" applyFill="1" applyBorder="1" applyAlignment="1" applyProtection="1">
      <alignment horizontal="left" vertical="center"/>
    </xf>
    <xf numFmtId="0" fontId="5" fillId="7" borderId="93" xfId="0" applyFont="1" applyFill="1" applyBorder="1" applyAlignment="1" applyProtection="1">
      <alignment horizontal="center" vertical="center"/>
    </xf>
    <xf numFmtId="0" fontId="3" fillId="7" borderId="89" xfId="0" applyFont="1" applyFill="1" applyBorder="1" applyAlignment="1" applyProtection="1">
      <alignment horizontal="center" vertical="center"/>
    </xf>
    <xf numFmtId="0" fontId="3" fillId="7" borderId="91" xfId="0" applyFont="1" applyFill="1" applyBorder="1" applyAlignment="1" applyProtection="1">
      <alignment horizontal="center" vertical="center"/>
    </xf>
    <xf numFmtId="0" fontId="11" fillId="0" borderId="92" xfId="0" applyFont="1" applyFill="1" applyBorder="1" applyAlignment="1" applyProtection="1">
      <alignment horizontal="center" vertical="center" wrapText="1"/>
    </xf>
    <xf numFmtId="0" fontId="11" fillId="0" borderId="92" xfId="0" applyFont="1" applyFill="1" applyBorder="1" applyAlignment="1" applyProtection="1">
      <alignment horizontal="left" vertical="center" wrapText="1"/>
    </xf>
    <xf numFmtId="0" fontId="3" fillId="2" borderId="35" xfId="0" applyFont="1" applyFill="1" applyBorder="1" applyAlignment="1" applyProtection="1">
      <alignment vertical="center"/>
    </xf>
    <xf numFmtId="0" fontId="3" fillId="2" borderId="63" xfId="0" applyFont="1" applyFill="1" applyBorder="1" applyAlignment="1" applyProtection="1">
      <alignment vertical="center"/>
    </xf>
    <xf numFmtId="0" fontId="5" fillId="0" borderId="89" xfId="0" applyFont="1" applyBorder="1" applyAlignment="1" applyProtection="1">
      <alignment horizontal="left" vertical="center"/>
    </xf>
    <xf numFmtId="0" fontId="5" fillId="0" borderId="90" xfId="0" applyFont="1" applyBorder="1" applyAlignment="1" applyProtection="1">
      <alignment horizontal="left" vertical="center"/>
    </xf>
    <xf numFmtId="0" fontId="5" fillId="0" borderId="91" xfId="0" applyFont="1" applyBorder="1" applyAlignment="1" applyProtection="1">
      <alignment horizontal="left" vertical="center"/>
    </xf>
    <xf numFmtId="0" fontId="5" fillId="0" borderId="87" xfId="0" applyFont="1" applyBorder="1" applyAlignment="1" applyProtection="1">
      <alignment horizontal="left" vertical="center"/>
    </xf>
    <xf numFmtId="0" fontId="5" fillId="0" borderId="88" xfId="0" applyFont="1" applyBorder="1" applyAlignment="1" applyProtection="1">
      <alignment horizontal="left" vertical="center"/>
    </xf>
    <xf numFmtId="0" fontId="5" fillId="0" borderId="58" xfId="0" applyFont="1" applyBorder="1" applyAlignment="1" applyProtection="1">
      <alignment horizontal="left" vertical="center"/>
    </xf>
    <xf numFmtId="0" fontId="4" fillId="0" borderId="87" xfId="0" applyFont="1" applyBorder="1" applyAlignment="1" applyProtection="1">
      <alignment horizontal="left" vertical="center"/>
    </xf>
    <xf numFmtId="0" fontId="4" fillId="0" borderId="88" xfId="0" applyFont="1" applyBorder="1" applyAlignment="1" applyProtection="1">
      <alignment horizontal="left" vertical="center"/>
    </xf>
    <xf numFmtId="0" fontId="4" fillId="0" borderId="58" xfId="0" applyFont="1" applyBorder="1" applyAlignment="1" applyProtection="1">
      <alignment horizontal="left" vertical="center"/>
    </xf>
    <xf numFmtId="0" fontId="5" fillId="0" borderId="85" xfId="0" applyFont="1" applyBorder="1" applyAlignment="1" applyProtection="1">
      <alignment horizontal="left" vertical="center"/>
    </xf>
    <xf numFmtId="0" fontId="5" fillId="0" borderId="86" xfId="0" applyFont="1" applyBorder="1" applyAlignment="1" applyProtection="1">
      <alignment horizontal="left" vertical="center"/>
    </xf>
    <xf numFmtId="0" fontId="5" fillId="0" borderId="69" xfId="0" applyFont="1" applyBorder="1" applyAlignment="1" applyProtection="1">
      <alignment horizontal="left" vertical="center"/>
    </xf>
    <xf numFmtId="0" fontId="4" fillId="2" borderId="72" xfId="0" applyFont="1" applyFill="1" applyBorder="1" applyAlignment="1" applyProtection="1">
      <alignment vertical="center"/>
    </xf>
    <xf numFmtId="0" fontId="4" fillId="2" borderId="83" xfId="0" applyFont="1" applyFill="1" applyBorder="1" applyAlignment="1" applyProtection="1">
      <alignment vertical="center"/>
    </xf>
    <xf numFmtId="0" fontId="4" fillId="2" borderId="84" xfId="0" applyFont="1" applyFill="1" applyBorder="1" applyAlignment="1" applyProtection="1">
      <alignment vertical="center"/>
    </xf>
  </cellXfs>
  <cellStyles count="2">
    <cellStyle name="Normal" xfId="0" builtinId="0"/>
    <cellStyle name="Porcentaje" xfId="1" builtinId="5"/>
  </cellStyles>
  <dxfs count="18"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fgColor indexed="9"/>
          <bgColor indexed="9"/>
        </patternFill>
      </fill>
    </dxf>
    <dxf>
      <fill>
        <patternFill>
          <bgColor indexed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image" Target="../media/image1.jpeg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image" Target="../media/image1.jpeg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image" Target="../media/image1.jpeg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image" Target="../media/image1.jpeg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image" Target="../media/image1.jpeg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3.xml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91</c:v>
                </c:pt>
                <c:pt idx="11">
                  <c:v>81</c:v>
                </c:pt>
                <c:pt idx="12">
                  <c:v>81</c:v>
                </c:pt>
                <c:pt idx="1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324032"/>
        <c:axId val="317157376"/>
      </c:scatterChart>
      <c:valAx>
        <c:axId val="309324032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7157376"/>
        <c:crossesAt val="1.0000000000000005E-2"/>
        <c:crossBetween val="midCat"/>
      </c:valAx>
      <c:valAx>
        <c:axId val="3171573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9324032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48.389331485971603</c:v>
                </c:pt>
                <c:pt idx="1">
                  <c:v>45.863095238095219</c:v>
                </c:pt>
                <c:pt idx="2">
                  <c:v>43.788318812520167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553664"/>
        <c:axId val="317604992"/>
      </c:scatterChart>
      <c:valAx>
        <c:axId val="31755366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7604992"/>
        <c:crosses val="autoZero"/>
        <c:crossBetween val="midCat"/>
        <c:minorUnit val="10"/>
      </c:valAx>
      <c:valAx>
        <c:axId val="3176049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755366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91</c:v>
                </c:pt>
                <c:pt idx="11">
                  <c:v>81</c:v>
                </c:pt>
                <c:pt idx="12">
                  <c:v>81</c:v>
                </c:pt>
                <c:pt idx="1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256640"/>
        <c:axId val="338258176"/>
      </c:scatterChart>
      <c:valAx>
        <c:axId val="338256640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258176"/>
        <c:crossesAt val="1.0000000000000005E-2"/>
        <c:crossBetween val="midCat"/>
      </c:valAx>
      <c:valAx>
        <c:axId val="3382581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256640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48.389331485971603</c:v>
                </c:pt>
                <c:pt idx="1">
                  <c:v>45.863095238095219</c:v>
                </c:pt>
                <c:pt idx="2">
                  <c:v>43.788318812520167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580288"/>
        <c:axId val="303582208"/>
      </c:scatterChart>
      <c:valAx>
        <c:axId val="303580288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3582208"/>
        <c:crosses val="autoZero"/>
        <c:crossBetween val="midCat"/>
        <c:minorUnit val="10"/>
      </c:valAx>
      <c:valAx>
        <c:axId val="3035822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0358028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91</c:v>
                </c:pt>
                <c:pt idx="11">
                  <c:v>81</c:v>
                </c:pt>
                <c:pt idx="12">
                  <c:v>81</c:v>
                </c:pt>
                <c:pt idx="1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277056"/>
        <c:axId val="313287040"/>
      </c:scatterChart>
      <c:valAx>
        <c:axId val="31327705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3287040"/>
        <c:crossesAt val="1.0000000000000005E-2"/>
        <c:crossBetween val="midCat"/>
      </c:valAx>
      <c:valAx>
        <c:axId val="31328704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27705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48.389331485971603</c:v>
                </c:pt>
                <c:pt idx="1">
                  <c:v>45.863095238095219</c:v>
                </c:pt>
                <c:pt idx="2">
                  <c:v>43.788318812520167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14304"/>
        <c:axId val="313324672"/>
      </c:scatterChart>
      <c:valAx>
        <c:axId val="31331430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324672"/>
        <c:crosses val="autoZero"/>
        <c:crossBetween val="midCat"/>
        <c:minorUnit val="10"/>
      </c:valAx>
      <c:valAx>
        <c:axId val="3133246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33143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91</c:v>
                </c:pt>
                <c:pt idx="11">
                  <c:v>81</c:v>
                </c:pt>
                <c:pt idx="12">
                  <c:v>81</c:v>
                </c:pt>
                <c:pt idx="1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39648"/>
        <c:axId val="316541184"/>
      </c:scatterChart>
      <c:valAx>
        <c:axId val="316539648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16541184"/>
        <c:crossesAt val="1.0000000000000005E-2"/>
        <c:crossBetween val="midCat"/>
      </c:valAx>
      <c:valAx>
        <c:axId val="31654118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39648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48.389331485971603</c:v>
                </c:pt>
                <c:pt idx="1">
                  <c:v>45.863095238095219</c:v>
                </c:pt>
                <c:pt idx="2">
                  <c:v>43.788318812520167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89184"/>
        <c:axId val="316591104"/>
      </c:scatterChart>
      <c:valAx>
        <c:axId val="316589184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91104"/>
        <c:crosses val="autoZero"/>
        <c:crossBetween val="midCat"/>
        <c:minorUnit val="10"/>
      </c:valAx>
      <c:valAx>
        <c:axId val="3165911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165891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91</c:v>
                </c:pt>
                <c:pt idx="11">
                  <c:v>81</c:v>
                </c:pt>
                <c:pt idx="12">
                  <c:v>81</c:v>
                </c:pt>
                <c:pt idx="1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278912"/>
        <c:axId val="324292992"/>
      </c:scatterChart>
      <c:valAx>
        <c:axId val="324278912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24292992"/>
        <c:crossesAt val="1.0000000000000005E-2"/>
        <c:crossBetween val="midCat"/>
      </c:valAx>
      <c:valAx>
        <c:axId val="32429299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278912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48.389331485971603</c:v>
                </c:pt>
                <c:pt idx="1">
                  <c:v>45.863095238095219</c:v>
                </c:pt>
                <c:pt idx="2">
                  <c:v>43.788318812520167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320640"/>
        <c:axId val="324322816"/>
      </c:scatterChart>
      <c:valAx>
        <c:axId val="324320640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322816"/>
        <c:crosses val="autoZero"/>
        <c:crossBetween val="midCat"/>
        <c:minorUnit val="10"/>
      </c:valAx>
      <c:valAx>
        <c:axId val="3243228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243206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91</c:v>
                </c:pt>
                <c:pt idx="11">
                  <c:v>81</c:v>
                </c:pt>
                <c:pt idx="12">
                  <c:v>81</c:v>
                </c:pt>
                <c:pt idx="1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08416"/>
        <c:axId val="338109952"/>
      </c:scatterChart>
      <c:valAx>
        <c:axId val="33810841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109952"/>
        <c:crossesAt val="1.0000000000000005E-2"/>
        <c:crossBetween val="midCat"/>
      </c:valAx>
      <c:valAx>
        <c:axId val="33810995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0841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48.389331485971603</c:v>
                </c:pt>
                <c:pt idx="1">
                  <c:v>45.863095238095219</c:v>
                </c:pt>
                <c:pt idx="2">
                  <c:v>43.788318812520167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153856"/>
        <c:axId val="338155776"/>
      </c:scatterChart>
      <c:valAx>
        <c:axId val="33815385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55776"/>
        <c:crosses val="autoZero"/>
        <c:crossBetween val="midCat"/>
        <c:minorUnit val="10"/>
      </c:valAx>
      <c:valAx>
        <c:axId val="3381557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1538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167832167833271E-2"/>
          <c:y val="0.13432835820895517"/>
          <c:w val="0.90909090909090906"/>
          <c:h val="0.73731343283582085"/>
        </c:manualLayout>
      </c:layout>
      <c:scatterChart>
        <c:scatterStyle val="lineMarker"/>
        <c:varyColors val="0"/>
        <c:ser>
          <c:idx val="2"/>
          <c:order val="0"/>
          <c:tx>
            <c:strRef>
              <c:f>Clasificacion!$O$5:$S$5</c:f>
              <c:strCache>
                <c:ptCount val="1"/>
                <c:pt idx="0">
                  <c:v>Muestra N° 1 0 0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Clasificacion!$O$10:$O$23</c:f>
              <c:numCache>
                <c:formatCode>General</c:formatCode>
                <c:ptCount val="14"/>
                <c:pt idx="0">
                  <c:v>76.2</c:v>
                </c:pt>
                <c:pt idx="1">
                  <c:v>63.5</c:v>
                </c:pt>
                <c:pt idx="2">
                  <c:v>50.8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</c:v>
                </c:pt>
                <c:pt idx="8">
                  <c:v>4.76</c:v>
                </c:pt>
                <c:pt idx="9" formatCode="0.00">
                  <c:v>2</c:v>
                </c:pt>
                <c:pt idx="10" formatCode="0.00">
                  <c:v>0.85</c:v>
                </c:pt>
                <c:pt idx="11">
                  <c:v>0.42499999999999999</c:v>
                </c:pt>
                <c:pt idx="12" formatCode="0.000">
                  <c:v>0.182</c:v>
                </c:pt>
                <c:pt idx="13">
                  <c:v>7.3999999999999996E-2</c:v>
                </c:pt>
              </c:numCache>
            </c:numRef>
          </c:xVal>
          <c:yVal>
            <c:numRef>
              <c:f>Clasificacion!$P$10:$P$23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91</c:v>
                </c:pt>
                <c:pt idx="10">
                  <c:v>91</c:v>
                </c:pt>
                <c:pt idx="11">
                  <c:v>81</c:v>
                </c:pt>
                <c:pt idx="12">
                  <c:v>81</c:v>
                </c:pt>
                <c:pt idx="13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6-40B6-A79C-EDD543A42565}"/>
            </c:ext>
          </c:extLst>
        </c:ser>
        <c:ser>
          <c:idx val="3"/>
          <c:order val="1"/>
          <c:spPr>
            <a:ln w="12700">
              <a:solidFill>
                <a:srgbClr val="EAEAEA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2106-40B6-A79C-EDD543A42565}"/>
              </c:ext>
            </c:extLst>
          </c:dPt>
          <c:dPt>
            <c:idx val="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2106-40B6-A79C-EDD543A42565}"/>
              </c:ext>
            </c:extLst>
          </c:dPt>
          <c:dPt>
            <c:idx val="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2106-40B6-A79C-EDD543A42565}"/>
              </c:ext>
            </c:extLst>
          </c:dPt>
          <c:dPt>
            <c:idx val="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2106-40B6-A79C-EDD543A42565}"/>
              </c:ext>
            </c:extLst>
          </c:dPt>
          <c:dPt>
            <c:idx val="1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A-2106-40B6-A79C-EDD543A42565}"/>
              </c:ext>
            </c:extLst>
          </c:dPt>
          <c:dPt>
            <c:idx val="1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C-2106-40B6-A79C-EDD543A42565}"/>
              </c:ext>
            </c:extLst>
          </c:dPt>
          <c:dPt>
            <c:idx val="1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E-2106-40B6-A79C-EDD543A42565}"/>
              </c:ext>
            </c:extLst>
          </c:dPt>
          <c:dPt>
            <c:idx val="1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0-2106-40B6-A79C-EDD543A42565}"/>
              </c:ext>
            </c:extLst>
          </c:dPt>
          <c:dPt>
            <c:idx val="18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2-2106-40B6-A79C-EDD543A42565}"/>
              </c:ext>
            </c:extLst>
          </c:dPt>
          <c:dPt>
            <c:idx val="20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4-2106-40B6-A79C-EDD543A42565}"/>
              </c:ext>
            </c:extLst>
          </c:dPt>
          <c:dPt>
            <c:idx val="2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6-2106-40B6-A79C-EDD543A42565}"/>
              </c:ext>
            </c:extLst>
          </c:dPt>
          <c:dPt>
            <c:idx val="24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8-2106-40B6-A79C-EDD543A42565}"/>
              </c:ext>
            </c:extLst>
          </c:dPt>
          <c:dPt>
            <c:idx val="26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1A-2106-40B6-A79C-EDD543A42565}"/>
              </c:ext>
            </c:extLst>
          </c:dPt>
          <c:dLbls>
            <c:dLbl>
              <c:idx val="0"/>
              <c:layout>
                <c:manualLayout>
                  <c:x val="-2.4290925157588766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106-40B6-A79C-EDD543A42565}"/>
                </c:ext>
              </c:extLst>
            </c:dLbl>
            <c:dLbl>
              <c:idx val="1"/>
              <c:layout>
                <c:manualLayout>
                  <c:x val="-0.21582946797759844"/>
                  <c:y val="4.6520905570522665E-2"/>
                </c:manualLayout>
              </c:layout>
              <c:tx>
                <c:rich>
                  <a:bodyPr rot="-534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3/8"
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106-40B6-A79C-EDD543A42565}"/>
                </c:ext>
              </c:extLst>
            </c:dLbl>
            <c:dLbl>
              <c:idx val="2"/>
              <c:layout>
                <c:manualLayout>
                  <c:x val="-2.6932145978961784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06-40B6-A79C-EDD543A42565}"/>
                </c:ext>
              </c:extLst>
            </c:dLbl>
            <c:dLbl>
              <c:idx val="3"/>
              <c:layout>
                <c:manualLayout>
                  <c:x val="-0.11989758021058523"/>
                  <c:y val="4.00038548463234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106-40B6-A79C-EDD543A42565}"/>
                </c:ext>
              </c:extLst>
            </c:dLbl>
            <c:dLbl>
              <c:idx val="4"/>
              <c:layout>
                <c:manualLayout>
                  <c:x val="-2.4127337560616812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06-40B6-A79C-EDD543A42565}"/>
                </c:ext>
              </c:extLst>
            </c:dLbl>
            <c:dLbl>
              <c:idx val="5"/>
              <c:layout>
                <c:manualLayout>
                  <c:x val="-0.35087347601651386"/>
                  <c:y val="5.087948501448027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N°10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106-40B6-A79C-EDD543A42565}"/>
                </c:ext>
              </c:extLst>
            </c:dLbl>
            <c:dLbl>
              <c:idx val="6"/>
              <c:layout>
                <c:manualLayout>
                  <c:x val="-2.27005420804476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06-40B6-A79C-EDD543A42565}"/>
                </c:ext>
              </c:extLst>
            </c:dLbl>
            <c:dLbl>
              <c:idx val="7"/>
              <c:layout>
                <c:manualLayout>
                  <c:x val="-0.4061002448653910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106-40B6-A79C-EDD543A42565}"/>
                </c:ext>
              </c:extLst>
            </c:dLbl>
            <c:dLbl>
              <c:idx val="8"/>
              <c:layout>
                <c:manualLayout>
                  <c:x val="-2.3854616953123211E-2"/>
                  <c:y val="-2.558598986768335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06-40B6-A79C-EDD543A42565}"/>
                </c:ext>
              </c:extLst>
            </c:dLbl>
            <c:dLbl>
              <c:idx val="9"/>
              <c:layout>
                <c:manualLayout>
                  <c:x val="-0.39803164647519879"/>
                  <c:y val="5.3141930952738531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106-40B6-A79C-EDD543A42565}"/>
                </c:ext>
              </c:extLst>
            </c:dLbl>
            <c:dLbl>
              <c:idx val="10"/>
              <c:layout>
                <c:manualLayout>
                  <c:x val="-2.3745346224792092E-2"/>
                  <c:y val="-2.2506462893570132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106-40B6-A79C-EDD543A42565}"/>
                </c:ext>
              </c:extLst>
            </c:dLbl>
            <c:dLbl>
              <c:idx val="11"/>
              <c:layout>
                <c:manualLayout>
                  <c:x val="-0.40714504900973575"/>
                  <c:y val="5.540437689099580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N°60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106-40B6-A79C-EDD543A42565}"/>
                </c:ext>
              </c:extLst>
            </c:dLbl>
            <c:dLbl>
              <c:idx val="12"/>
              <c:layout>
                <c:manualLayout>
                  <c:x val="-2.3581758627820252E-2"/>
                  <c:y val="-3.0110881744198768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106-40B6-A79C-EDD543A42565}"/>
                </c:ext>
              </c:extLst>
            </c:dLbl>
            <c:dLbl>
              <c:idx val="13"/>
              <c:layout>
                <c:manualLayout>
                  <c:x val="-0.44914225347158671"/>
                  <c:y val="6.342932752882279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 80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106-40B6-A79C-EDD543A42565}"/>
                </c:ext>
              </c:extLst>
            </c:dLbl>
            <c:dLbl>
              <c:idx val="14"/>
              <c:layout>
                <c:manualLayout>
                  <c:x val="-2.4736991294738168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106-40B6-A79C-EDD543A42565}"/>
                </c:ext>
              </c:extLst>
            </c:dLbl>
            <c:dLbl>
              <c:idx val="15"/>
              <c:layout>
                <c:manualLayout>
                  <c:x val="-0.50166353599701963"/>
                  <c:y val="7.20210677057645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N°200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106-40B6-A79C-EDD543A42565}"/>
                </c:ext>
              </c:extLst>
            </c:dLbl>
            <c:dLbl>
              <c:idx val="16"/>
              <c:layout>
                <c:manualLayout>
                  <c:x val="-2.7099182473112091E-2"/>
                  <c:y val="-3.2373327682457091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106-40B6-A79C-EDD543A42565}"/>
                </c:ext>
              </c:extLst>
            </c:dLbl>
            <c:dLbl>
              <c:idx val="17"/>
              <c:layout>
                <c:manualLayout>
                  <c:x val="0.14681408476954341"/>
                  <c:y val="3.2410669350050221E-2"/>
                </c:manualLayout>
              </c:layout>
              <c:tx>
                <c:rich>
                  <a:bodyPr rot="-522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1"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106-40B6-A79C-EDD543A42565}"/>
                </c:ext>
              </c:extLst>
            </c:dLbl>
            <c:dLbl>
              <c:idx val="18"/>
              <c:layout>
                <c:manualLayout>
                  <c:x val="-1.9773898328382736E-2"/>
                  <c:y val="-3.011088174419876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2.00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106-40B6-A79C-EDD543A42565}"/>
                </c:ext>
              </c:extLst>
            </c:dLbl>
            <c:dLbl>
              <c:idx val="19"/>
              <c:layout>
                <c:manualLayout>
                  <c:x val="6.8500260044783184E-2"/>
                  <c:y val="3.8750174287336077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N°4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106-40B6-A79C-EDD543A42565}"/>
                </c:ext>
              </c:extLst>
            </c:dLbl>
            <c:dLbl>
              <c:idx val="20"/>
              <c:layout>
                <c:manualLayout>
                  <c:x val="-1.096984340705100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106-40B6-A79C-EDD543A42565}"/>
                </c:ext>
              </c:extLst>
            </c:dLbl>
            <c:dLbl>
              <c:idx val="21"/>
              <c:layout>
                <c:manualLayout>
                  <c:x val="0.32849877376128211"/>
                  <c:y val="5.4449704313638894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2-1/2"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106-40B6-A79C-EDD543A42565}"/>
                </c:ext>
              </c:extLst>
            </c:dLbl>
            <c:dLbl>
              <c:idx val="22"/>
              <c:layout>
                <c:manualLayout>
                  <c:x val="-2.1237183096454452E-2"/>
                  <c:y val="-3.38186925848589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106-40B6-A79C-EDD543A42565}"/>
                </c:ext>
              </c:extLst>
            </c:dLbl>
            <c:dLbl>
              <c:idx val="23"/>
              <c:layout>
                <c:manualLayout>
                  <c:x val="0.3558636487730138"/>
                  <c:y val="4.191911465781923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2"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106-40B6-A79C-EDD543A42565}"/>
                </c:ext>
              </c:extLst>
            </c:dLbl>
            <c:dLbl>
              <c:idx val="24"/>
              <c:layout>
                <c:manualLayout>
                  <c:x val="-2.1305309613264611E-2"/>
                  <c:y val="-3.46357736207148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106-40B6-A79C-EDD543A425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106-40B6-A79C-EDD543A42565}"/>
                </c:ext>
              </c:extLst>
            </c:dLbl>
            <c:dLbl>
              <c:idx val="26"/>
              <c:layout>
                <c:manualLayout>
                  <c:x val="-1.952354036327282E-2"/>
                  <c:y val="-3.834358446137445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l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106-40B6-A79C-EDD543A42565}"/>
                </c:ext>
              </c:extLst>
            </c:dLbl>
            <c:dLbl>
              <c:idx val="27"/>
              <c:layout>
                <c:manualLayout>
                  <c:x val="0.62562337224874576"/>
                  <c:y val="5.0470183652551098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3/4"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106-40B6-A79C-EDD543A42565}"/>
                </c:ext>
              </c:extLst>
            </c:dLbl>
            <c:dLbl>
              <c:idx val="28"/>
              <c:layout>
                <c:manualLayout>
                  <c:x val="-0.48301740667106158"/>
                  <c:y val="-2.88825996970217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106-40B6-A79C-EDD543A42565}"/>
                </c:ext>
              </c:extLst>
            </c:dLbl>
            <c:dLbl>
              <c:idx val="29"/>
              <c:layout>
                <c:manualLayout>
                  <c:x val="-1.8740897037199441E-2"/>
                  <c:y val="-0.76849136456806677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lang="es-ES" sz="800" b="1" i="0" u="none" strike="noStrike" baseline="0">
                        <a:solidFill>
                          <a:srgbClr val="000000"/>
                        </a:solidFill>
                        <a:latin typeface="Tahoma"/>
                        <a:ea typeface="Tahoma"/>
                        <a:cs typeface="Tahoma"/>
                      </a:defRPr>
                    </a:pPr>
                    <a:r>
                      <a:rPr lang="en-US"/>
                      <a:t>6,38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106-40B6-A79C-EDD543A4256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Clasificacion!$P$31:$P$60</c:f>
              <c:numCache>
                <c:formatCode>General</c:formatCode>
                <c:ptCount val="30"/>
                <c:pt idx="0">
                  <c:v>76.2</c:v>
                </c:pt>
                <c:pt idx="1">
                  <c:v>76.2</c:v>
                </c:pt>
                <c:pt idx="2">
                  <c:v>63.5</c:v>
                </c:pt>
                <c:pt idx="3">
                  <c:v>63.5</c:v>
                </c:pt>
                <c:pt idx="4">
                  <c:v>50.8</c:v>
                </c:pt>
                <c:pt idx="5">
                  <c:v>50.8</c:v>
                </c:pt>
                <c:pt idx="6">
                  <c:v>38.1</c:v>
                </c:pt>
                <c:pt idx="7">
                  <c:v>38.1</c:v>
                </c:pt>
                <c:pt idx="8">
                  <c:v>25.4</c:v>
                </c:pt>
                <c:pt idx="9">
                  <c:v>25.4</c:v>
                </c:pt>
                <c:pt idx="10">
                  <c:v>19.05</c:v>
                </c:pt>
                <c:pt idx="11">
                  <c:v>19.05</c:v>
                </c:pt>
                <c:pt idx="12">
                  <c:v>12.7</c:v>
                </c:pt>
                <c:pt idx="13">
                  <c:v>12.7</c:v>
                </c:pt>
                <c:pt idx="14">
                  <c:v>9.52</c:v>
                </c:pt>
                <c:pt idx="15">
                  <c:v>9.52</c:v>
                </c:pt>
                <c:pt idx="16">
                  <c:v>4.76</c:v>
                </c:pt>
                <c:pt idx="17">
                  <c:v>4.76</c:v>
                </c:pt>
                <c:pt idx="18">
                  <c:v>2.38</c:v>
                </c:pt>
                <c:pt idx="19">
                  <c:v>2.38</c:v>
                </c:pt>
                <c:pt idx="20">
                  <c:v>1.19</c:v>
                </c:pt>
                <c:pt idx="21">
                  <c:v>1.19</c:v>
                </c:pt>
                <c:pt idx="22">
                  <c:v>0.59499999999999997</c:v>
                </c:pt>
                <c:pt idx="23">
                  <c:v>0.59499999999999997</c:v>
                </c:pt>
                <c:pt idx="24">
                  <c:v>0.29699999999999999</c:v>
                </c:pt>
                <c:pt idx="25">
                  <c:v>0.29699999999999999</c:v>
                </c:pt>
                <c:pt idx="26" formatCode="0.000">
                  <c:v>0.14899999999999999</c:v>
                </c:pt>
                <c:pt idx="27">
                  <c:v>0.14899999999999999</c:v>
                </c:pt>
                <c:pt idx="28">
                  <c:v>6.38</c:v>
                </c:pt>
                <c:pt idx="29">
                  <c:v>6.38</c:v>
                </c:pt>
              </c:numCache>
            </c:numRef>
          </c:xVal>
          <c:yVal>
            <c:numRef>
              <c:f>Clasificacion!$Q$31:$Q$60</c:f>
              <c:numCache>
                <c:formatCode>General</c:formatCode>
                <c:ptCount val="30"/>
                <c:pt idx="0">
                  <c:v>100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0</c:v>
                </c:pt>
                <c:pt idx="8">
                  <c:v>100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0</c:v>
                </c:pt>
                <c:pt idx="16">
                  <c:v>100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100</c:v>
                </c:pt>
                <c:pt idx="21">
                  <c:v>0</c:v>
                </c:pt>
                <c:pt idx="22">
                  <c:v>100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100</c:v>
                </c:pt>
                <c:pt idx="27">
                  <c:v>0</c:v>
                </c:pt>
                <c:pt idx="28">
                  <c:v>100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106-40B6-A79C-EDD543A42565}"/>
            </c:ext>
          </c:extLst>
        </c:ser>
        <c:ser>
          <c:idx val="0"/>
          <c:order val="2"/>
          <c:spPr>
            <a:ln>
              <a:solidFill>
                <a:srgbClr val="0070C0"/>
              </a:solidFill>
            </a:ln>
          </c:spPr>
          <c:dPt>
            <c:idx val="9"/>
            <c:marker>
              <c:symbol val="diamond"/>
              <c:size val="2"/>
            </c:marker>
            <c:bubble3D val="0"/>
            <c:extLst>
              <c:ext xmlns:c16="http://schemas.microsoft.com/office/drawing/2014/chart" uri="{C3380CC4-5D6E-409C-BE32-E72D297353CC}">
                <c16:uniqueId val="{0000002D-2106-40B6-A79C-EDD543A42565}"/>
              </c:ext>
            </c:extLst>
          </c:dPt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Clasificacion!$U$31:$U$41</c:f>
              <c:numCache>
                <c:formatCode>0.0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106-40B6-A79C-EDD543A42565}"/>
            </c:ext>
          </c:extLst>
        </c:ser>
        <c:ser>
          <c:idx val="1"/>
          <c:order val="3"/>
          <c:spPr>
            <a:ln>
              <a:solidFill>
                <a:srgbClr val="0070C0"/>
              </a:solidFill>
            </a:ln>
          </c:spPr>
          <c:marker>
            <c:symbol val="diamond"/>
            <c:size val="3"/>
            <c:spPr>
              <a:noFill/>
            </c:spPr>
          </c:marke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Clasificacion!$V$31:$V$41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106-40B6-A79C-EDD543A42565}"/>
            </c:ext>
          </c:extLst>
        </c:ser>
        <c:ser>
          <c:idx val="4"/>
          <c:order val="4"/>
          <c:spPr>
            <a:ln>
              <a:solidFill>
                <a:srgbClr val="00B050"/>
              </a:solidFill>
            </a:ln>
          </c:spPr>
          <c:xVal>
            <c:numRef>
              <c:f>Clasificacion!$S$31:$S$41</c:f>
              <c:numCache>
                <c:formatCode>General</c:formatCode>
                <c:ptCount val="11"/>
                <c:pt idx="0">
                  <c:v>38.1</c:v>
                </c:pt>
                <c:pt idx="1">
                  <c:v>25.4</c:v>
                </c:pt>
                <c:pt idx="2">
                  <c:v>19.05</c:v>
                </c:pt>
                <c:pt idx="3">
                  <c:v>12.7</c:v>
                </c:pt>
                <c:pt idx="4">
                  <c:v>9.52</c:v>
                </c:pt>
                <c:pt idx="5">
                  <c:v>4.76</c:v>
                </c:pt>
                <c:pt idx="6" formatCode="0.00">
                  <c:v>2</c:v>
                </c:pt>
                <c:pt idx="8">
                  <c:v>0.42499999999999999</c:v>
                </c:pt>
                <c:pt idx="9" formatCode="0.000">
                  <c:v>0.18</c:v>
                </c:pt>
                <c:pt idx="10">
                  <c:v>7.3999999999999996E-2</c:v>
                </c:pt>
              </c:numCache>
            </c:numRef>
          </c:xVal>
          <c:yVal>
            <c:numRef>
              <c:f>Clasificacion!$W$31:$W$41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106-40B6-A79C-EDD543A42565}"/>
            </c:ext>
          </c:extLst>
        </c:ser>
        <c:ser>
          <c:idx val="7"/>
          <c:order val="5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Clasificacion!$AF$39:$AF$48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106-40B6-A79C-EDD543A42565}"/>
            </c:ext>
          </c:extLst>
        </c:ser>
        <c:ser>
          <c:idx val="8"/>
          <c:order val="6"/>
          <c:spPr>
            <a:ln>
              <a:solidFill>
                <a:srgbClr val="FF0000"/>
              </a:solidFill>
            </a:ln>
          </c:spPr>
          <c:xVal>
            <c:numRef>
              <c:f>Clasificacion!$Z$39:$Z$48</c:f>
              <c:numCache>
                <c:formatCode>General</c:formatCode>
                <c:ptCount val="10"/>
              </c:numCache>
            </c:numRef>
          </c:xVal>
          <c:yVal>
            <c:numRef>
              <c:f>Clasificacion!$AE$39:$AE$48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106-40B6-A79C-EDD543A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03936"/>
        <c:axId val="338513920"/>
      </c:scatterChart>
      <c:valAx>
        <c:axId val="338503936"/>
        <c:scaling>
          <c:logBase val="10"/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es-ES"/>
            </a:pPr>
            <a:endParaRPr lang="es-CO"/>
          </a:p>
        </c:txPr>
        <c:crossAx val="338513920"/>
        <c:crossesAt val="1.0000000000000005E-2"/>
        <c:crossBetween val="midCat"/>
      </c:valAx>
      <c:valAx>
        <c:axId val="3385139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9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PORCENTAJES QUE PASAN</a:t>
                </a:r>
              </a:p>
            </c:rich>
          </c:tx>
          <c:layout>
            <c:manualLayout>
              <c:xMode val="edge"/>
              <c:yMode val="edge"/>
              <c:x val="6.587615283267457E-3"/>
              <c:y val="0.357466538402156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03936"/>
        <c:crossesAt val="1.0000000000000041E-3"/>
        <c:crossBetween val="midCat"/>
        <c:majorUnit val="10"/>
        <c:minorUnit val="2"/>
      </c:valAx>
      <c:spPr>
        <a:solidFill>
          <a:srgbClr val="FFFFFF"/>
        </a:solidFill>
        <a:ln w="3175">
          <a:solidFill>
            <a:srgbClr val="969696"/>
          </a:solidFill>
          <a:prstDash val="solid"/>
        </a:ln>
      </c:spPr>
    </c:plotArea>
    <c:plotVisOnly val="0"/>
    <c:dispBlanksAs val="span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254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>
      <c:oddHeader>&amp;A</c:oddHeader>
      <c:oddFooter>Página &amp;P</c:oddFooter>
    </c:headerFooter>
    <c:pageMargins b="1" l="0.75000000000000411" r="0.75000000000000411" t="1" header="0.511811024" footer="0.511811024"/>
    <c:pageSetup orientation="landscape" horizontalDpi="180" verticalDpi="180"/>
  </c:printSettings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9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r>
              <a:rPr lang="es-ES"/>
              <a:t>L I M I T E   L I Q U I D O</a:t>
            </a:r>
          </a:p>
        </c:rich>
      </c:tx>
      <c:layout>
        <c:manualLayout>
          <c:xMode val="edge"/>
          <c:yMode val="edge"/>
          <c:x val="0.21671284736532906"/>
          <c:y val="4.80063261201304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5421686747149"/>
          <c:y val="0.13170763078227748"/>
          <c:w val="0.81325301204820055"/>
          <c:h val="0.70244069750548044"/>
        </c:manualLayout>
      </c:layout>
      <c:scatterChart>
        <c:scatterStyle val="lineMarker"/>
        <c:varyColors val="0"/>
        <c:ser>
          <c:idx val="0"/>
          <c:order val="0"/>
          <c:tx>
            <c:strRef>
              <c:f>Clasificacion!$L$4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0"/>
            <c:trendlineLbl>
              <c:layout>
                <c:manualLayout>
                  <c:x val="0.42624453193350831"/>
                  <c:y val="-0.3001157166164749"/>
                </c:manualLayout>
              </c:layout>
              <c:numFmt formatCode="General" sourceLinked="0"/>
              <c:spPr>
                <a:solidFill>
                  <a:srgbClr val="CCFFCC"/>
                </a:solidFill>
                <a:ln w="3175">
                  <a:solidFill>
                    <a:srgbClr val="000000"/>
                  </a:solidFill>
                  <a:prstDash val="solid"/>
                </a:ln>
                <a:effectLst>
                  <a:outerShdw dist="35921" dir="2700000" algn="br">
                    <a:srgbClr val="000000"/>
                  </a:outerShdw>
                </a:effectLst>
              </c:spPr>
              <c:txPr>
                <a:bodyPr/>
                <a:lstStyle/>
                <a:p>
                  <a:pPr>
                    <a:defRPr lang="es-ES" sz="800" b="1" i="0" u="none" strike="noStrike" baseline="0">
                      <a:solidFill>
                        <a:srgbClr val="000000"/>
                      </a:solidFill>
                      <a:latin typeface="Tahoma"/>
                      <a:ea typeface="Tahoma"/>
                      <a:cs typeface="Tahoma"/>
                    </a:defRPr>
                  </a:pPr>
                  <a:endParaRPr lang="es-CO"/>
                </a:p>
              </c:txPr>
            </c:trendlineLbl>
          </c:trendline>
          <c:xVal>
            <c:numRef>
              <c:f>Clasificacion!$K$14:$M$14</c:f>
              <c:numCache>
                <c:formatCode>General</c:formatCode>
                <c:ptCount val="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</c:numCache>
            </c:numRef>
          </c:xVal>
          <c:yVal>
            <c:numRef>
              <c:f>Clasificacion!$K$18:$M$18</c:f>
              <c:numCache>
                <c:formatCode>0.00</c:formatCode>
                <c:ptCount val="3"/>
                <c:pt idx="0">
                  <c:v>48.389331485971603</c:v>
                </c:pt>
                <c:pt idx="1">
                  <c:v>45.863095238095219</c:v>
                </c:pt>
                <c:pt idx="2">
                  <c:v>43.788318812520167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8-4663-BEC1-F07EEB1F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49376"/>
        <c:axId val="338555648"/>
      </c:scatterChart>
      <c:valAx>
        <c:axId val="338549376"/>
        <c:scaling>
          <c:logBase val="10"/>
          <c:orientation val="minMax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855421686747343"/>
              <c:y val="0.882928877792714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55648"/>
        <c:crosses val="autoZero"/>
        <c:crossBetween val="midCat"/>
        <c:minorUnit val="10"/>
      </c:valAx>
      <c:valAx>
        <c:axId val="3385556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969696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s-ES" sz="800" b="1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defRPr>
                </a:pPr>
                <a:r>
                  <a:rPr lang="es-ES"/>
                  <a:t>% DE HUMEDAD</a:t>
                </a:r>
              </a:p>
            </c:rich>
          </c:tx>
          <c:layout>
            <c:manualLayout>
              <c:xMode val="edge"/>
              <c:yMode val="edge"/>
              <c:x val="1.5060240963855422E-2"/>
              <c:y val="0.33658639011587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defRPr>
            </a:pPr>
            <a:endParaRPr lang="es-CO"/>
          </a:p>
        </c:txPr>
        <c:crossAx val="3385493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EAEAEA"/>
    </a:solidFill>
    <a:ln w="25400">
      <a:solidFill>
        <a:srgbClr val="000000"/>
      </a:solidFill>
      <a:prstDash val="solid"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Tahoma"/>
          <a:ea typeface="Tahoma"/>
          <a:cs typeface="Tahoma"/>
        </a:defRPr>
      </a:pPr>
      <a:endParaRPr lang="es-CO"/>
    </a:p>
  </c:txPr>
  <c:printSettings>
    <c:headerFooter alignWithMargins="0"/>
    <c:pageMargins b="1" l="0.75000000000000411" r="0.75000000000000411" t="1" header="0" footer="0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464425" y="10220325"/>
          <a:ext cx="1270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126980"/>
          <a:ext cx="127000" cy="424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7" name="Text Box 20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68036</xdr:colOff>
      <xdr:row>35</xdr:row>
      <xdr:rowOff>161244</xdr:rowOff>
    </xdr:from>
    <xdr:to>
      <xdr:col>12</xdr:col>
      <xdr:colOff>674234</xdr:colOff>
      <xdr:row>57</xdr:row>
      <xdr:rowOff>70757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131498</xdr:colOff>
      <xdr:row>25</xdr:row>
      <xdr:rowOff>64031</xdr:rowOff>
    </xdr:from>
    <xdr:to>
      <xdr:col>12</xdr:col>
      <xdr:colOff>693473</xdr:colOff>
      <xdr:row>35</xdr:row>
      <xdr:rowOff>107156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12</xdr:col>
      <xdr:colOff>539750</xdr:colOff>
      <xdr:row>55</xdr:row>
      <xdr:rowOff>76200</xdr:rowOff>
    </xdr:from>
    <xdr:to>
      <xdr:col>12</xdr:col>
      <xdr:colOff>666750</xdr:colOff>
      <xdr:row>57</xdr:row>
      <xdr:rowOff>104775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7664450" y="10066020"/>
          <a:ext cx="127000" cy="3790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3"</a:t>
          </a:r>
        </a:p>
      </xdr:txBody>
    </xdr: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0.09192</cdr:x>
      <cdr:y>0.01202</cdr:y>
    </cdr:from>
    <cdr:to>
      <cdr:x>0.03271</cdr:x>
      <cdr:y>0.0301</cdr:y>
    </cdr:to>
    <cdr:sp macro="" textlink="">
      <cdr:nvSpPr>
        <cdr:cNvPr id="97281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8361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N°200</a:t>
          </a:r>
        </a:p>
      </cdr:txBody>
    </cdr:sp>
  </cdr:relSizeAnchor>
  <cdr:relSizeAnchor xmlns:cdr="http://schemas.openxmlformats.org/drawingml/2006/chartDrawing">
    <cdr:from>
      <cdr:x>0.11931</cdr:x>
      <cdr:y>0.01202</cdr:y>
    </cdr:from>
    <cdr:to>
      <cdr:x>0.0337</cdr:x>
      <cdr:y>0.0301</cdr:y>
    </cdr:to>
    <cdr:sp macro="" textlink="">
      <cdr:nvSpPr>
        <cdr:cNvPr id="97282" name="Tex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0172" y="53893"/>
          <a:ext cx="0" cy="670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N°100</a:t>
          </a:r>
        </a:p>
      </cdr:txBody>
    </cdr:sp>
  </cdr:relSizeAnchor>
  <cdr:relSizeAnchor xmlns:cdr="http://schemas.openxmlformats.org/drawingml/2006/chartDrawing">
    <cdr:from>
      <cdr:x>0.14842</cdr:x>
      <cdr:y>0.01911</cdr:y>
    </cdr:from>
    <cdr:to>
      <cdr:x>0.03271</cdr:x>
      <cdr:y>0.02668</cdr:y>
    </cdr:to>
    <cdr:sp macro="" textlink="">
      <cdr:nvSpPr>
        <cdr:cNvPr id="97283" name="Texto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6270" y="79670"/>
          <a:ext cx="0" cy="28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50</a:t>
          </a:r>
        </a:p>
      </cdr:txBody>
    </cdr:sp>
  </cdr:relSizeAnchor>
  <cdr:relSizeAnchor xmlns:cdr="http://schemas.openxmlformats.org/drawingml/2006/chartDrawing">
    <cdr:from>
      <cdr:x>0.162</cdr:x>
      <cdr:y>0.00224</cdr:y>
    </cdr:from>
    <cdr:to>
      <cdr:x>0.01866</cdr:x>
      <cdr:y>0.02496</cdr:y>
    </cdr:to>
    <cdr:sp macro="" textlink="">
      <cdr:nvSpPr>
        <cdr:cNvPr id="97284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6283" y="16774"/>
          <a:ext cx="0" cy="85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strike="noStrike">
              <a:solidFill>
                <a:srgbClr val="000000"/>
              </a:solidFill>
              <a:latin typeface="Tahoma"/>
              <a:cs typeface="Tahoma"/>
            </a:rPr>
            <a:t>N° 30</a:t>
          </a:r>
        </a:p>
      </cdr:txBody>
    </cdr:sp>
  </cdr:relSizeAnchor>
  <cdr:relSizeAnchor xmlns:cdr="http://schemas.openxmlformats.org/drawingml/2006/chartDrawing">
    <cdr:from>
      <cdr:x>0.17895</cdr:x>
      <cdr:y>0.02094</cdr:y>
    </cdr:from>
    <cdr:to>
      <cdr:x>0.17895</cdr:x>
      <cdr:y>0.02846</cdr:y>
    </cdr:to>
    <cdr:sp macro="" textlink="">
      <cdr:nvSpPr>
        <cdr:cNvPr id="128005" name="Texto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79866" y="70207"/>
          <a:ext cx="0" cy="24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600" b="0" i="0" u="none" strike="noStrike" baseline="0">
              <a:solidFill>
                <a:srgbClr val="000000"/>
              </a:solidFill>
              <a:latin typeface="Tahoma"/>
              <a:cs typeface="Tahoma"/>
            </a:rPr>
            <a:t> N°16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78"/>
  <sheetViews>
    <sheetView tabSelected="1" zoomScale="80" zoomScaleNormal="80" zoomScaleSheetLayoutView="80" zoomScalePageLayoutView="80" workbookViewId="0">
      <selection activeCell="AB16" sqref="AB16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3">
      <c r="B2" s="382" t="s">
        <v>139</v>
      </c>
      <c r="C2" s="383"/>
      <c r="D2" s="383"/>
      <c r="E2" s="384"/>
      <c r="F2" s="391" t="s">
        <v>1</v>
      </c>
      <c r="G2" s="392"/>
      <c r="H2" s="395" t="s">
        <v>140</v>
      </c>
      <c r="I2" s="396"/>
      <c r="J2" s="397"/>
      <c r="K2" s="287" t="s">
        <v>2</v>
      </c>
      <c r="L2" s="401">
        <v>46112</v>
      </c>
      <c r="M2" s="401"/>
      <c r="N2" s="401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</row>
    <row r="3" spans="1:58" ht="24" customHeight="1" x14ac:dyDescent="0.3">
      <c r="B3" s="385"/>
      <c r="C3" s="386"/>
      <c r="D3" s="386"/>
      <c r="E3" s="387"/>
      <c r="F3" s="393"/>
      <c r="G3" s="394"/>
      <c r="H3" s="398"/>
      <c r="I3" s="399"/>
      <c r="J3" s="400"/>
      <c r="K3" s="287" t="s">
        <v>3</v>
      </c>
      <c r="L3" s="402">
        <v>3</v>
      </c>
      <c r="M3" s="403"/>
      <c r="N3" s="404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</row>
    <row r="4" spans="1:58" s="3" customFormat="1" ht="13.5" customHeight="1" x14ac:dyDescent="0.3">
      <c r="B4" s="388"/>
      <c r="C4" s="389"/>
      <c r="D4" s="389"/>
      <c r="E4" s="390"/>
      <c r="F4" s="405" t="s">
        <v>4</v>
      </c>
      <c r="G4" s="406"/>
      <c r="H4" s="406"/>
      <c r="I4" s="406"/>
      <c r="J4" s="407"/>
      <c r="K4" s="408" t="s">
        <v>5</v>
      </c>
      <c r="L4" s="408"/>
      <c r="M4" s="402">
        <v>2</v>
      </c>
      <c r="N4" s="409"/>
      <c r="O4" s="356" t="s">
        <v>6</v>
      </c>
      <c r="P4" s="357" t="s">
        <v>7</v>
      </c>
      <c r="Q4" s="376">
        <v>46102</v>
      </c>
      <c r="R4" s="377"/>
      <c r="S4" s="377"/>
      <c r="T4" s="180"/>
      <c r="U4" s="180"/>
      <c r="V4" s="234"/>
      <c r="W4" s="268"/>
      <c r="X4" s="268"/>
      <c r="Y4" s="268"/>
    </row>
    <row r="5" spans="1:58" ht="13.5" customHeight="1" x14ac:dyDescent="0.3">
      <c r="B5" s="378" t="s">
        <v>8</v>
      </c>
      <c r="C5" s="379"/>
      <c r="D5" s="380"/>
      <c r="E5" s="381" t="s">
        <v>141</v>
      </c>
      <c r="F5" s="381"/>
      <c r="G5" s="381"/>
      <c r="H5" s="381"/>
      <c r="I5" s="381"/>
      <c r="J5" s="381"/>
      <c r="K5" s="298"/>
      <c r="L5" s="298"/>
      <c r="M5" s="354"/>
      <c r="N5" s="355"/>
      <c r="O5" s="356" t="s">
        <v>9</v>
      </c>
      <c r="P5" s="357"/>
      <c r="Q5" s="181">
        <v>1</v>
      </c>
      <c r="R5" s="234">
        <f>F34</f>
        <v>0</v>
      </c>
      <c r="S5" s="234">
        <f>C35</f>
        <v>0</v>
      </c>
      <c r="T5" s="234"/>
      <c r="U5" s="234"/>
      <c r="V5" s="234"/>
      <c r="W5" s="268"/>
      <c r="X5" s="268"/>
      <c r="Y5" s="268"/>
      <c r="AB5" s="3"/>
      <c r="AC5" s="3"/>
    </row>
    <row r="6" spans="1:58" ht="13.5" customHeight="1" x14ac:dyDescent="0.3">
      <c r="B6" s="373" t="s">
        <v>10</v>
      </c>
      <c r="C6" s="374"/>
      <c r="D6" s="375"/>
      <c r="E6" s="353" t="s">
        <v>142</v>
      </c>
      <c r="F6" s="354"/>
      <c r="G6" s="354"/>
      <c r="H6" s="354"/>
      <c r="I6" s="354"/>
      <c r="J6" s="354"/>
      <c r="K6" s="354"/>
      <c r="L6" s="354"/>
      <c r="M6" s="354"/>
      <c r="N6" s="355"/>
      <c r="O6" s="356" t="s">
        <v>11</v>
      </c>
      <c r="P6" s="357" t="s">
        <v>7</v>
      </c>
      <c r="Q6" s="288">
        <v>87.8</v>
      </c>
      <c r="R6" s="234" t="s">
        <v>0</v>
      </c>
      <c r="S6" s="234"/>
      <c r="T6" s="234"/>
      <c r="U6" s="234"/>
      <c r="V6" s="234"/>
      <c r="W6" s="268"/>
      <c r="X6" s="268"/>
      <c r="Y6" s="26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358" t="s">
        <v>12</v>
      </c>
      <c r="C7" s="359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60"/>
      <c r="O7" s="289"/>
      <c r="P7" s="290"/>
      <c r="Q7" s="181"/>
      <c r="R7" s="234"/>
      <c r="S7" s="234"/>
      <c r="T7" s="234"/>
      <c r="U7" s="234"/>
      <c r="V7" s="234"/>
      <c r="W7" s="268"/>
      <c r="X7" s="268"/>
      <c r="Y7" s="26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361"/>
      <c r="C8" s="362"/>
      <c r="D8" s="362"/>
      <c r="E8" s="362"/>
      <c r="F8" s="362"/>
      <c r="G8" s="362"/>
      <c r="H8" s="362"/>
      <c r="I8" s="362"/>
      <c r="J8" s="362"/>
      <c r="K8" s="362"/>
      <c r="L8" s="362"/>
      <c r="M8" s="362"/>
      <c r="N8" s="363"/>
      <c r="O8" s="183" t="s">
        <v>14</v>
      </c>
      <c r="P8" s="187" t="s">
        <v>15</v>
      </c>
      <c r="Q8" s="187" t="s">
        <v>16</v>
      </c>
      <c r="R8" s="187" t="s">
        <v>17</v>
      </c>
      <c r="S8" s="234"/>
      <c r="T8" s="234"/>
      <c r="U8" s="234"/>
      <c r="V8" s="234"/>
      <c r="W8" s="268"/>
      <c r="X8" s="268"/>
      <c r="Y8" s="26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291"/>
      <c r="C9" s="182"/>
      <c r="D9" s="182"/>
      <c r="E9" s="292"/>
      <c r="F9" s="182"/>
      <c r="G9" s="182"/>
      <c r="H9" s="182"/>
      <c r="I9" s="182"/>
      <c r="J9" s="182"/>
      <c r="K9" s="182"/>
      <c r="L9" s="182"/>
      <c r="M9" s="182"/>
      <c r="N9" s="293"/>
      <c r="O9" s="234"/>
      <c r="P9" s="234"/>
      <c r="Q9" s="234"/>
      <c r="R9" s="234"/>
      <c r="S9" s="234"/>
      <c r="T9" s="234"/>
      <c r="U9" s="234"/>
      <c r="V9" s="234"/>
      <c r="W9" s="268"/>
      <c r="X9" s="268"/>
      <c r="Y9" s="26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52"/>
      <c r="C10" s="249" t="s">
        <v>18</v>
      </c>
      <c r="D10" s="250" t="s">
        <v>19</v>
      </c>
      <c r="E10" s="251">
        <f>Q6</f>
        <v>87.8</v>
      </c>
      <c r="F10" s="253" t="s">
        <v>20</v>
      </c>
      <c r="G10" s="251">
        <f>IF(Q24="a",Q23,SUM(Q10:Q23))</f>
        <v>32.200000000000003</v>
      </c>
      <c r="H10" s="254"/>
      <c r="I10" s="364" t="s">
        <v>21</v>
      </c>
      <c r="J10" s="365"/>
      <c r="K10" s="365"/>
      <c r="L10" s="365"/>
      <c r="M10" s="366"/>
      <c r="N10" s="255"/>
      <c r="O10" s="183">
        <v>76.2</v>
      </c>
      <c r="P10" s="184">
        <f>IF(X10=0," ",X10)</f>
        <v>100</v>
      </c>
      <c r="Q10" s="185">
        <v>0</v>
      </c>
      <c r="R10" s="186" t="s">
        <v>22</v>
      </c>
      <c r="S10" s="187" t="s">
        <v>23</v>
      </c>
      <c r="T10" s="184">
        <f>X23-35</f>
        <v>28</v>
      </c>
      <c r="U10" s="188"/>
      <c r="V10" s="189">
        <f>IF($Q$24="I",V9+Q10,Q10)</f>
        <v>0</v>
      </c>
      <c r="W10" s="190">
        <f>Q10</f>
        <v>0</v>
      </c>
      <c r="X10" s="190">
        <f>ROUND(G13,0)</f>
        <v>100</v>
      </c>
      <c r="Y10" s="268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52"/>
      <c r="C11" s="367" t="s">
        <v>24</v>
      </c>
      <c r="D11" s="368"/>
      <c r="E11" s="369" t="s">
        <v>25</v>
      </c>
      <c r="F11" s="369" t="s">
        <v>26</v>
      </c>
      <c r="G11" s="369" t="s">
        <v>27</v>
      </c>
      <c r="H11" s="254"/>
      <c r="I11" s="371" t="s">
        <v>28</v>
      </c>
      <c r="J11" s="341"/>
      <c r="K11" s="341">
        <v>1</v>
      </c>
      <c r="L11" s="341">
        <v>2</v>
      </c>
      <c r="M11" s="343">
        <v>3</v>
      </c>
      <c r="N11" s="255"/>
      <c r="O11" s="183">
        <v>63.5</v>
      </c>
      <c r="P11" s="184">
        <f t="shared" ref="P11:P23" si="0">IF(X11=0," ",X11)</f>
        <v>100</v>
      </c>
      <c r="Q11" s="185">
        <v>0</v>
      </c>
      <c r="R11" s="186" t="s">
        <v>29</v>
      </c>
      <c r="S11" s="187" t="s">
        <v>23</v>
      </c>
      <c r="T11" s="184">
        <f>X23-15</f>
        <v>48</v>
      </c>
      <c r="U11" s="188"/>
      <c r="V11" s="189">
        <f>IF($Q$24="I",V10+Q11,Q11)</f>
        <v>0</v>
      </c>
      <c r="W11" s="190">
        <f>IF(AND(V11=0,X10=100),0,IF(V11=V10,((V12-V10)*(O10-O11)/(O10-O12)+V10),V11))</f>
        <v>0</v>
      </c>
      <c r="X11" s="190">
        <f t="shared" ref="X11:X19" si="1">ROUND(G14,0)</f>
        <v>100</v>
      </c>
      <c r="Y11" s="268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256"/>
      <c r="C12" s="257" t="s">
        <v>30</v>
      </c>
      <c r="D12" s="258" t="s">
        <v>31</v>
      </c>
      <c r="E12" s="370"/>
      <c r="F12" s="370"/>
      <c r="G12" s="370"/>
      <c r="H12" s="259"/>
      <c r="I12" s="372"/>
      <c r="J12" s="342"/>
      <c r="K12" s="342"/>
      <c r="L12" s="342"/>
      <c r="M12" s="344"/>
      <c r="N12" s="260"/>
      <c r="O12" s="183">
        <v>50.8</v>
      </c>
      <c r="P12" s="184">
        <f t="shared" si="0"/>
        <v>100</v>
      </c>
      <c r="Q12" s="191">
        <v>0</v>
      </c>
      <c r="R12" s="186" t="s">
        <v>32</v>
      </c>
      <c r="S12" s="187" t="s">
        <v>33</v>
      </c>
      <c r="T12" s="184">
        <f>Q27-40</f>
        <v>5.6371326674081033</v>
      </c>
      <c r="U12" s="188"/>
      <c r="V12" s="189">
        <f>IF($Q$24="I",V11+Q12,Q12)</f>
        <v>0</v>
      </c>
      <c r="W12" s="190">
        <f>IF(AND(V12=0,X11=100),0,IF(V12=V11,((V13-V11)*(O11-O12)/(O11-O13)+V11),V12))</f>
        <v>0</v>
      </c>
      <c r="X12" s="190">
        <f t="shared" si="1"/>
        <v>100</v>
      </c>
      <c r="Y12" s="268"/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261"/>
      <c r="C13" s="192" t="s">
        <v>22</v>
      </c>
      <c r="D13" s="193">
        <f t="shared" ref="D13:D25" si="2">O10</f>
        <v>76.2</v>
      </c>
      <c r="E13" s="194">
        <f>W10</f>
        <v>0</v>
      </c>
      <c r="F13" s="195">
        <f t="shared" ref="F13:F26" si="3">(100/$E$10)*E13</f>
        <v>0</v>
      </c>
      <c r="G13" s="196">
        <f>100-F13</f>
        <v>100</v>
      </c>
      <c r="H13" s="237"/>
      <c r="I13" s="345" t="s">
        <v>35</v>
      </c>
      <c r="J13" s="346"/>
      <c r="K13" s="197">
        <v>11</v>
      </c>
      <c r="L13" s="197">
        <v>59</v>
      </c>
      <c r="M13" s="198">
        <v>36</v>
      </c>
      <c r="N13" s="262"/>
      <c r="O13" s="183">
        <v>38.1</v>
      </c>
      <c r="P13" s="184">
        <f t="shared" si="0"/>
        <v>100</v>
      </c>
      <c r="Q13" s="185">
        <v>0</v>
      </c>
      <c r="R13" s="186" t="s">
        <v>36</v>
      </c>
      <c r="S13" s="187" t="s">
        <v>37</v>
      </c>
      <c r="T13" s="184">
        <f>F32-10</f>
        <v>2</v>
      </c>
      <c r="U13" s="188"/>
      <c r="V13" s="189">
        <f>IF($Q$24="I",V12+Q13,Q13)</f>
        <v>0</v>
      </c>
      <c r="W13" s="190">
        <f>IF(AND(V13=0,X12=100),0,IF(V13=V12,((V14-V12)*(O12-O13)/(O12-O14)+V12),V13))</f>
        <v>0</v>
      </c>
      <c r="X13" s="190">
        <f t="shared" si="1"/>
        <v>100</v>
      </c>
      <c r="Y13" s="268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261"/>
      <c r="C14" s="199" t="s">
        <v>29</v>
      </c>
      <c r="D14" s="193">
        <f t="shared" si="2"/>
        <v>63.5</v>
      </c>
      <c r="E14" s="200">
        <f>W11-W10</f>
        <v>0</v>
      </c>
      <c r="F14" s="201">
        <f>(100/$E$10)*E14</f>
        <v>0</v>
      </c>
      <c r="G14" s="202">
        <f>G13-F14</f>
        <v>100</v>
      </c>
      <c r="H14" s="237"/>
      <c r="I14" s="334" t="s">
        <v>39</v>
      </c>
      <c r="J14" s="335"/>
      <c r="K14" s="203">
        <v>15</v>
      </c>
      <c r="L14" s="203">
        <v>25</v>
      </c>
      <c r="M14" s="204">
        <v>34</v>
      </c>
      <c r="N14" s="262"/>
      <c r="O14" s="183">
        <v>25.4</v>
      </c>
      <c r="P14" s="184">
        <f t="shared" si="0"/>
        <v>100</v>
      </c>
      <c r="Q14" s="185">
        <v>0</v>
      </c>
      <c r="R14" s="186">
        <v>1</v>
      </c>
      <c r="S14" s="187" t="s">
        <v>40</v>
      </c>
      <c r="T14" s="205">
        <f>Q27-30</f>
        <v>15.637132667408103</v>
      </c>
      <c r="U14" s="205"/>
      <c r="V14" s="189">
        <f t="shared" ref="V14:V22" si="4">IF($Q$24="I",V13+Q14,Q14)</f>
        <v>0</v>
      </c>
      <c r="W14" s="190">
        <f t="shared" ref="W14:W23" si="5">IF(AND(V14=0,X13=100),0,IF(V14=V13,((V15-V13)*(O13-O14)/(O13-O15)+V13),V14))</f>
        <v>0</v>
      </c>
      <c r="X14" s="190">
        <f>ROUND(G17,0)</f>
        <v>100</v>
      </c>
      <c r="Y14" s="268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261"/>
      <c r="C15" s="199" t="s">
        <v>32</v>
      </c>
      <c r="D15" s="193">
        <f t="shared" si="2"/>
        <v>50.8</v>
      </c>
      <c r="E15" s="200">
        <f t="shared" ref="E15:E26" si="6">Q12</f>
        <v>0</v>
      </c>
      <c r="F15" s="201">
        <f t="shared" si="3"/>
        <v>0</v>
      </c>
      <c r="G15" s="202">
        <f t="shared" ref="G15:G26" si="7">G14-F15</f>
        <v>100</v>
      </c>
      <c r="H15" s="237"/>
      <c r="I15" s="334" t="s">
        <v>41</v>
      </c>
      <c r="J15" s="335"/>
      <c r="K15" s="206">
        <v>48.83</v>
      </c>
      <c r="L15" s="203">
        <v>55.43</v>
      </c>
      <c r="M15" s="207">
        <v>50.39</v>
      </c>
      <c r="N15" s="262"/>
      <c r="O15" s="183">
        <v>19.05</v>
      </c>
      <c r="P15" s="184">
        <f t="shared" si="0"/>
        <v>100</v>
      </c>
      <c r="Q15" s="185">
        <v>0</v>
      </c>
      <c r="R15" s="186" t="s">
        <v>42</v>
      </c>
      <c r="S15" s="187" t="s">
        <v>43</v>
      </c>
      <c r="T15" s="263">
        <f>IF(X18=0,0,100-X18)</f>
        <v>0</v>
      </c>
      <c r="U15" s="263"/>
      <c r="V15" s="189">
        <f t="shared" si="4"/>
        <v>0</v>
      </c>
      <c r="W15" s="190">
        <f t="shared" si="5"/>
        <v>0</v>
      </c>
      <c r="X15" s="190">
        <f t="shared" si="1"/>
        <v>100</v>
      </c>
      <c r="Y15" s="268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261"/>
      <c r="C16" s="199" t="s">
        <v>36</v>
      </c>
      <c r="D16" s="193">
        <f t="shared" si="2"/>
        <v>38.1</v>
      </c>
      <c r="E16" s="200">
        <f t="shared" si="6"/>
        <v>0</v>
      </c>
      <c r="F16" s="201">
        <f t="shared" si="3"/>
        <v>0</v>
      </c>
      <c r="G16" s="202">
        <f t="shared" si="7"/>
        <v>100</v>
      </c>
      <c r="H16" s="237"/>
      <c r="I16" s="334" t="s">
        <v>45</v>
      </c>
      <c r="J16" s="335"/>
      <c r="K16" s="203">
        <v>34.86</v>
      </c>
      <c r="L16" s="203">
        <v>40.020000000000003</v>
      </c>
      <c r="M16" s="204">
        <v>36.82</v>
      </c>
      <c r="N16" s="262"/>
      <c r="O16" s="183">
        <v>12.7</v>
      </c>
      <c r="P16" s="184">
        <f t="shared" si="0"/>
        <v>100</v>
      </c>
      <c r="Q16" s="185">
        <v>0</v>
      </c>
      <c r="R16" s="186" t="s">
        <v>46</v>
      </c>
      <c r="S16" s="187" t="s">
        <v>47</v>
      </c>
      <c r="T16" s="263">
        <f>IF(X18=0,100-X23,X18-X23)</f>
        <v>37</v>
      </c>
      <c r="U16" s="263"/>
      <c r="V16" s="189">
        <f>IF($Q$24="I",V15+Q16,Q16)</f>
        <v>0</v>
      </c>
      <c r="W16" s="190">
        <f t="shared" si="5"/>
        <v>0</v>
      </c>
      <c r="X16" s="190">
        <f>ROUND(G19,0)</f>
        <v>100</v>
      </c>
      <c r="Y16" s="268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261"/>
      <c r="C17" s="199" t="s">
        <v>49</v>
      </c>
      <c r="D17" s="193">
        <f t="shared" si="2"/>
        <v>25.4</v>
      </c>
      <c r="E17" s="200">
        <f t="shared" si="6"/>
        <v>0</v>
      </c>
      <c r="F17" s="201">
        <f t="shared" si="3"/>
        <v>0</v>
      </c>
      <c r="G17" s="202">
        <f t="shared" si="7"/>
        <v>100</v>
      </c>
      <c r="H17" s="237"/>
      <c r="I17" s="334" t="s">
        <v>50</v>
      </c>
      <c r="J17" s="335"/>
      <c r="K17" s="203">
        <v>5.99</v>
      </c>
      <c r="L17" s="206">
        <v>6.42</v>
      </c>
      <c r="M17" s="207">
        <v>5.83</v>
      </c>
      <c r="N17" s="262"/>
      <c r="O17" s="183">
        <v>9.52</v>
      </c>
      <c r="P17" s="184">
        <f t="shared" si="0"/>
        <v>100</v>
      </c>
      <c r="Q17" s="185">
        <v>0</v>
      </c>
      <c r="R17" s="186" t="s">
        <v>51</v>
      </c>
      <c r="S17" s="187" t="s">
        <v>52</v>
      </c>
      <c r="T17" s="263">
        <f>(R27-20)*0.73</f>
        <v>18.98</v>
      </c>
      <c r="U17" s="263"/>
      <c r="V17" s="189">
        <f>IF($Q$24="I",V16+Q17,Q17)</f>
        <v>0</v>
      </c>
      <c r="W17" s="190">
        <f>IF(AND(V17=0,X16=100),0,IF(V17=V16,((V18-V16)*(O16-O17)/(O16-O18)+V16),V17))</f>
        <v>0</v>
      </c>
      <c r="X17" s="190">
        <f t="shared" si="1"/>
        <v>100</v>
      </c>
      <c r="Y17" s="268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261"/>
      <c r="C18" s="199" t="s">
        <v>42</v>
      </c>
      <c r="D18" s="193">
        <f t="shared" si="2"/>
        <v>19.05</v>
      </c>
      <c r="E18" s="200">
        <f t="shared" si="6"/>
        <v>0</v>
      </c>
      <c r="F18" s="201">
        <f t="shared" si="3"/>
        <v>0</v>
      </c>
      <c r="G18" s="202">
        <f t="shared" si="7"/>
        <v>100</v>
      </c>
      <c r="H18" s="237"/>
      <c r="I18" s="337" t="s">
        <v>54</v>
      </c>
      <c r="J18" s="338"/>
      <c r="K18" s="208">
        <f>(K15-K16)*100/(K16-K17)</f>
        <v>48.389331485971603</v>
      </c>
      <c r="L18" s="208">
        <f>(L15-L16)*100/(L16-L17)</f>
        <v>45.863095238095219</v>
      </c>
      <c r="M18" s="209">
        <f>(M15-M16)*100/(M16-M17)</f>
        <v>43.788318812520167</v>
      </c>
      <c r="N18" s="262"/>
      <c r="O18" s="183">
        <v>4.76</v>
      </c>
      <c r="P18" s="184">
        <f t="shared" si="0"/>
        <v>100</v>
      </c>
      <c r="Q18" s="185">
        <v>0</v>
      </c>
      <c r="R18" s="186" t="s">
        <v>55</v>
      </c>
      <c r="S18" s="234"/>
      <c r="T18" s="234"/>
      <c r="U18" s="234"/>
      <c r="V18" s="189">
        <f>IF($Q$24="I",V17+Q18,Q18)</f>
        <v>0</v>
      </c>
      <c r="W18" s="190">
        <f t="shared" si="5"/>
        <v>0</v>
      </c>
      <c r="X18" s="190">
        <f t="shared" si="1"/>
        <v>100</v>
      </c>
      <c r="Y18" s="268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261"/>
      <c r="C19" s="199" t="s">
        <v>46</v>
      </c>
      <c r="D19" s="193">
        <f t="shared" si="2"/>
        <v>12.7</v>
      </c>
      <c r="E19" s="200">
        <f t="shared" si="6"/>
        <v>0</v>
      </c>
      <c r="F19" s="201">
        <f t="shared" si="3"/>
        <v>0</v>
      </c>
      <c r="G19" s="202">
        <f t="shared" si="7"/>
        <v>100</v>
      </c>
      <c r="H19" s="237"/>
      <c r="I19" s="347" t="s">
        <v>56</v>
      </c>
      <c r="J19" s="348"/>
      <c r="K19" s="348"/>
      <c r="L19" s="348"/>
      <c r="M19" s="349" t="s">
        <v>57</v>
      </c>
      <c r="N19" s="262"/>
      <c r="O19" s="210">
        <v>2</v>
      </c>
      <c r="P19" s="184">
        <f t="shared" si="0"/>
        <v>91</v>
      </c>
      <c r="Q19" s="185">
        <v>8.1999999999999993</v>
      </c>
      <c r="R19" s="186" t="s">
        <v>58</v>
      </c>
      <c r="S19" s="187" t="s">
        <v>59</v>
      </c>
      <c r="T19" s="184">
        <f>IF(AND(T10&gt;1,T10&lt;=40),T10,0)</f>
        <v>28</v>
      </c>
      <c r="U19" s="188"/>
      <c r="V19" s="189">
        <f t="shared" si="4"/>
        <v>8.1999999999999993</v>
      </c>
      <c r="W19" s="190">
        <f t="shared" si="5"/>
        <v>8.1999999999999993</v>
      </c>
      <c r="X19" s="190">
        <f t="shared" si="1"/>
        <v>91</v>
      </c>
      <c r="Y19" s="268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5">
      <c r="A20" s="2" t="s">
        <v>60</v>
      </c>
      <c r="B20" s="261"/>
      <c r="C20" s="211" t="s">
        <v>51</v>
      </c>
      <c r="D20" s="193">
        <f t="shared" si="2"/>
        <v>9.52</v>
      </c>
      <c r="E20" s="200">
        <f t="shared" si="6"/>
        <v>0</v>
      </c>
      <c r="F20" s="201">
        <f t="shared" si="3"/>
        <v>0</v>
      </c>
      <c r="G20" s="202">
        <f t="shared" si="7"/>
        <v>100</v>
      </c>
      <c r="H20" s="237"/>
      <c r="I20" s="351" t="s">
        <v>28</v>
      </c>
      <c r="J20" s="352"/>
      <c r="K20" s="264">
        <v>1</v>
      </c>
      <c r="L20" s="265">
        <v>2</v>
      </c>
      <c r="M20" s="350"/>
      <c r="N20" s="262"/>
      <c r="O20" s="210">
        <v>0.85</v>
      </c>
      <c r="P20" s="184">
        <f t="shared" si="0"/>
        <v>91</v>
      </c>
      <c r="Q20" s="185">
        <v>0</v>
      </c>
      <c r="R20" s="186" t="s">
        <v>61</v>
      </c>
      <c r="S20" s="187" t="s">
        <v>62</v>
      </c>
      <c r="T20" s="184">
        <f>IF(AND(T11&gt;1,T11&lt;=40),ROUND(T11,1),0)</f>
        <v>0</v>
      </c>
      <c r="U20" s="188"/>
      <c r="V20" s="189">
        <f t="shared" si="4"/>
        <v>8.1999999999999993</v>
      </c>
      <c r="W20" s="190">
        <f t="shared" si="5"/>
        <v>14.698412698412699</v>
      </c>
      <c r="X20" s="190">
        <f>ROUND(G23,0)</f>
        <v>91</v>
      </c>
      <c r="Y20" s="268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3">
      <c r="A21" s="2" t="s">
        <v>63</v>
      </c>
      <c r="B21" s="261"/>
      <c r="C21" s="211" t="s">
        <v>55</v>
      </c>
      <c r="D21" s="193">
        <f t="shared" si="2"/>
        <v>4.76</v>
      </c>
      <c r="E21" s="200">
        <f t="shared" si="6"/>
        <v>0</v>
      </c>
      <c r="F21" s="201">
        <f t="shared" si="3"/>
        <v>0</v>
      </c>
      <c r="G21" s="202">
        <f t="shared" si="7"/>
        <v>100</v>
      </c>
      <c r="H21" s="237"/>
      <c r="I21" s="334" t="s">
        <v>35</v>
      </c>
      <c r="J21" s="335"/>
      <c r="K21" s="203">
        <v>27</v>
      </c>
      <c r="L21" s="203">
        <v>35</v>
      </c>
      <c r="M21" s="212">
        <v>16</v>
      </c>
      <c r="N21" s="262"/>
      <c r="O21" s="183">
        <v>0.42499999999999999</v>
      </c>
      <c r="P21" s="184">
        <f t="shared" si="0"/>
        <v>81</v>
      </c>
      <c r="Q21" s="185">
        <v>8.9</v>
      </c>
      <c r="R21" s="186" t="s">
        <v>64</v>
      </c>
      <c r="S21" s="187" t="s">
        <v>65</v>
      </c>
      <c r="T21" s="184">
        <f>IF(AND(T12&gt;=1,T12&lt;=20),ROUND(T12,1),0)</f>
        <v>5.6</v>
      </c>
      <c r="U21" s="188"/>
      <c r="V21" s="189">
        <f t="shared" si="4"/>
        <v>17.100000000000001</v>
      </c>
      <c r="W21" s="190">
        <f t="shared" si="5"/>
        <v>17.100000000000001</v>
      </c>
      <c r="X21" s="190">
        <f>ROUND(G24,0)</f>
        <v>81</v>
      </c>
      <c r="Y21" s="268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3">
      <c r="A22" s="2"/>
      <c r="B22" s="261"/>
      <c r="C22" s="211" t="str">
        <f>R19</f>
        <v>N°10</v>
      </c>
      <c r="D22" s="193">
        <f t="shared" si="2"/>
        <v>2</v>
      </c>
      <c r="E22" s="200">
        <f>Q19</f>
        <v>8.1999999999999993</v>
      </c>
      <c r="F22" s="201">
        <f t="shared" si="3"/>
        <v>9.3394077448747144</v>
      </c>
      <c r="G22" s="202">
        <f t="shared" si="7"/>
        <v>90.66059225512528</v>
      </c>
      <c r="H22" s="237"/>
      <c r="I22" s="334" t="s">
        <v>41</v>
      </c>
      <c r="J22" s="335"/>
      <c r="K22" s="203">
        <v>20.81</v>
      </c>
      <c r="L22" s="206">
        <v>19.95</v>
      </c>
      <c r="M22" s="206">
        <v>44.71</v>
      </c>
      <c r="N22" s="262"/>
      <c r="O22" s="213">
        <v>0.182</v>
      </c>
      <c r="P22" s="184">
        <f>IF(X22=0," ",X22)</f>
        <v>81</v>
      </c>
      <c r="Q22" s="185">
        <v>0</v>
      </c>
      <c r="R22" s="186" t="s">
        <v>66</v>
      </c>
      <c r="S22" s="187" t="s">
        <v>67</v>
      </c>
      <c r="T22" s="184">
        <f>IF(AND(T13&gt;=1,T13&lt;=20),ROUND(T13,1),0)</f>
        <v>2</v>
      </c>
      <c r="U22" s="188"/>
      <c r="V22" s="189">
        <f t="shared" si="4"/>
        <v>17.100000000000001</v>
      </c>
      <c r="W22" s="190">
        <f t="shared" si="5"/>
        <v>27.553846153846159</v>
      </c>
      <c r="X22" s="190">
        <f>ROUND(G25,0)</f>
        <v>81</v>
      </c>
      <c r="Y22" s="268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3">
      <c r="A23" s="2"/>
      <c r="B23" s="261"/>
      <c r="C23" s="211" t="str">
        <f>R20</f>
        <v>N°20</v>
      </c>
      <c r="D23" s="193">
        <f t="shared" si="2"/>
        <v>0.85</v>
      </c>
      <c r="E23" s="200">
        <f t="shared" si="6"/>
        <v>0</v>
      </c>
      <c r="F23" s="201">
        <f t="shared" si="3"/>
        <v>0</v>
      </c>
      <c r="G23" s="202">
        <f t="shared" si="7"/>
        <v>90.66059225512528</v>
      </c>
      <c r="H23" s="237"/>
      <c r="I23" s="334" t="s">
        <v>45</v>
      </c>
      <c r="J23" s="335"/>
      <c r="K23" s="203">
        <v>17.12</v>
      </c>
      <c r="L23" s="206">
        <v>16.350000000000001</v>
      </c>
      <c r="M23" s="206">
        <v>35.04</v>
      </c>
      <c r="N23" s="262"/>
      <c r="O23" s="183">
        <v>7.3999999999999996E-2</v>
      </c>
      <c r="P23" s="184">
        <f t="shared" si="0"/>
        <v>63</v>
      </c>
      <c r="Q23" s="214">
        <v>15.1</v>
      </c>
      <c r="R23" s="187" t="s">
        <v>68</v>
      </c>
      <c r="S23" s="215" t="s">
        <v>69</v>
      </c>
      <c r="T23" s="216" t="str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/>
      </c>
      <c r="U23" s="217"/>
      <c r="V23" s="189">
        <f>IF($Q$24="I",V22+Q23,Q23)</f>
        <v>32.200000000000003</v>
      </c>
      <c r="W23" s="190">
        <f t="shared" si="5"/>
        <v>32.200000000000003</v>
      </c>
      <c r="X23" s="190">
        <f>ROUND(G26,0)</f>
        <v>63</v>
      </c>
      <c r="Y23" s="268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3">
      <c r="A24" s="2"/>
      <c r="B24" s="261"/>
      <c r="C24" s="211" t="str">
        <f>R21</f>
        <v>N°40</v>
      </c>
      <c r="D24" s="193">
        <f t="shared" si="2"/>
        <v>0.42499999999999999</v>
      </c>
      <c r="E24" s="200">
        <f t="shared" si="6"/>
        <v>8.9</v>
      </c>
      <c r="F24" s="201">
        <f t="shared" si="3"/>
        <v>10.136674259681094</v>
      </c>
      <c r="G24" s="202">
        <f t="shared" si="7"/>
        <v>80.523917995444179</v>
      </c>
      <c r="H24" s="237"/>
      <c r="I24" s="334" t="s">
        <v>50</v>
      </c>
      <c r="J24" s="335"/>
      <c r="K24" s="206">
        <v>6.33</v>
      </c>
      <c r="L24" s="206">
        <v>5.29</v>
      </c>
      <c r="M24" s="218">
        <v>6.1</v>
      </c>
      <c r="N24" s="262"/>
      <c r="O24" s="234"/>
      <c r="P24" s="234"/>
      <c r="Q24" s="266" t="s">
        <v>70</v>
      </c>
      <c r="R24" s="267">
        <f>SLOPE(K18:M18,LN(K14:M14))</f>
        <v>-5.5539608655580919</v>
      </c>
      <c r="S24" s="215" t="s">
        <v>71</v>
      </c>
      <c r="T24" s="219" t="str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/>
      </c>
      <c r="U24" s="217"/>
      <c r="V24" s="234" t="str">
        <f>""</f>
        <v/>
      </c>
      <c r="W24" s="268"/>
      <c r="X24" s="268"/>
      <c r="Y24" s="26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5">
      <c r="A25" s="2" t="s">
        <v>72</v>
      </c>
      <c r="B25" s="261"/>
      <c r="C25" s="211" t="str">
        <f>R22</f>
        <v>N°80</v>
      </c>
      <c r="D25" s="193">
        <f t="shared" si="2"/>
        <v>0.182</v>
      </c>
      <c r="E25" s="200">
        <f t="shared" si="6"/>
        <v>0</v>
      </c>
      <c r="F25" s="201">
        <f t="shared" si="3"/>
        <v>0</v>
      </c>
      <c r="G25" s="202">
        <f t="shared" si="7"/>
        <v>80.523917995444179</v>
      </c>
      <c r="H25" s="237"/>
      <c r="I25" s="337" t="s">
        <v>54</v>
      </c>
      <c r="J25" s="338"/>
      <c r="K25" s="208">
        <f>(K22-K23)*100/(K23-K24)</f>
        <v>34.19833178869321</v>
      </c>
      <c r="L25" s="208">
        <f>(L22-L23)*100/(L23-L24)</f>
        <v>32.549728752260371</v>
      </c>
      <c r="M25" s="208">
        <f>(M22-M23)*100/(M23-M24)</f>
        <v>33.413959917069811</v>
      </c>
      <c r="N25" s="262"/>
      <c r="O25" s="339" t="s">
        <v>73</v>
      </c>
      <c r="P25" s="340"/>
      <c r="Q25" s="220"/>
      <c r="R25" s="269">
        <f>INTERCEPT(K18:M18,LN(K14:M14))</f>
        <v>63.514643029817151</v>
      </c>
      <c r="S25" s="215" t="s">
        <v>74</v>
      </c>
      <c r="T25" s="216" t="str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/>
      </c>
      <c r="U25" s="217"/>
      <c r="V25" s="234" t="str">
        <f>""</f>
        <v/>
      </c>
      <c r="W25" s="268"/>
      <c r="X25" s="268"/>
      <c r="Y25" s="26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3">
      <c r="A26" s="2" t="s">
        <v>75</v>
      </c>
      <c r="B26" s="261"/>
      <c r="C26" s="211" t="str">
        <f>R23</f>
        <v>N°200</v>
      </c>
      <c r="D26" s="193">
        <f>O23</f>
        <v>7.3999999999999996E-2</v>
      </c>
      <c r="E26" s="200">
        <f t="shared" si="6"/>
        <v>15.1</v>
      </c>
      <c r="F26" s="201">
        <f t="shared" si="3"/>
        <v>17.198177676537586</v>
      </c>
      <c r="G26" s="202">
        <f t="shared" si="7"/>
        <v>63.325740318906597</v>
      </c>
      <c r="H26" s="237"/>
      <c r="I26" s="221" t="s">
        <v>76</v>
      </c>
      <c r="J26" s="237"/>
      <c r="K26" s="237"/>
      <c r="L26" s="237"/>
      <c r="M26" s="237"/>
      <c r="N26" s="262"/>
      <c r="O26" s="234"/>
      <c r="P26" s="234"/>
      <c r="Q26" s="234"/>
      <c r="R26" s="234"/>
      <c r="S26" s="187" t="s">
        <v>77</v>
      </c>
      <c r="T26" s="234"/>
      <c r="U26" s="234"/>
      <c r="V26" s="234" t="str">
        <f>""</f>
        <v/>
      </c>
      <c r="W26" s="268"/>
      <c r="X26" s="268"/>
      <c r="Y26" s="26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5">
      <c r="B27" s="261"/>
      <c r="C27" s="222" t="s">
        <v>78</v>
      </c>
      <c r="D27" s="223"/>
      <c r="E27" s="224">
        <f>Q6-SUM(E13:E26)</f>
        <v>55.599999999999994</v>
      </c>
      <c r="F27" s="225">
        <f>100-SUM(F13:F26)</f>
        <v>63.325740318906611</v>
      </c>
      <c r="G27" s="226"/>
      <c r="H27" s="237"/>
      <c r="I27" s="227">
        <f>IF(OR(I35=0,I31=0),0,ROUND(I35/I31,0))</f>
        <v>0</v>
      </c>
      <c r="J27" s="270"/>
      <c r="K27" s="270"/>
      <c r="L27" s="270"/>
      <c r="M27" s="270"/>
      <c r="N27" s="262"/>
      <c r="O27" s="325" t="s">
        <v>79</v>
      </c>
      <c r="P27" s="326"/>
      <c r="Q27" s="216" t="str">
        <f>IF(AND(L14="",M14="",K14&lt;=30,K14&gt;=20),((K14/25)^0.121)*K18,"")&amp;IF(AND(L14="",M14="",OR(K14&gt;30,K14&lt;20)),0,"")&amp;IF(AND(L14&gt;1,M14&gt;1),($R$24*LN(25))+$R$25,"")</f>
        <v>45,6371326674081</v>
      </c>
      <c r="R27" s="228">
        <f>ROUND(Q27,0)</f>
        <v>46</v>
      </c>
      <c r="S27" s="187" t="str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ML</v>
      </c>
      <c r="T27" s="234"/>
      <c r="U27" s="234"/>
      <c r="V27" s="271"/>
      <c r="W27" s="237"/>
      <c r="X27" s="237"/>
      <c r="Y27" s="237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5">
      <c r="B28" s="261"/>
      <c r="C28" s="327" t="s">
        <v>80</v>
      </c>
      <c r="D28" s="328"/>
      <c r="E28" s="229">
        <f>SUM(E13:E27)</f>
        <v>87.8</v>
      </c>
      <c r="F28" s="237"/>
      <c r="G28" s="237"/>
      <c r="H28" s="237"/>
      <c r="I28" s="230" t="s">
        <v>81</v>
      </c>
      <c r="J28" s="270"/>
      <c r="K28" s="270"/>
      <c r="L28" s="270"/>
      <c r="M28" s="270"/>
      <c r="N28" s="262"/>
      <c r="O28" s="325" t="s">
        <v>82</v>
      </c>
      <c r="P28" s="326"/>
      <c r="Q28" s="184">
        <f>IF(AND(K22="",L22=""),0,AVERAGE(K25:L25))</f>
        <v>33.374030270476794</v>
      </c>
      <c r="R28" s="228">
        <f>ROUND(Q28,0)</f>
        <v>33</v>
      </c>
      <c r="S28" s="187" t="str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/>
      </c>
      <c r="T28" s="234" t="s">
        <v>13</v>
      </c>
      <c r="U28" s="234"/>
      <c r="V28" s="272"/>
      <c r="W28" s="237"/>
      <c r="X28" s="231"/>
      <c r="Y28" s="231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5">
      <c r="B29" s="261"/>
      <c r="C29" s="329" t="s">
        <v>83</v>
      </c>
      <c r="D29" s="330"/>
      <c r="E29" s="330"/>
      <c r="F29" s="330"/>
      <c r="G29" s="331"/>
      <c r="H29" s="237"/>
      <c r="I29" s="227">
        <f>IF(OR(I35=0,I33=0,I31=0),0,ROUND((I33^2/(I31*I35)),0))</f>
        <v>0</v>
      </c>
      <c r="J29" s="270"/>
      <c r="K29" s="270"/>
      <c r="L29" s="270"/>
      <c r="M29" s="270"/>
      <c r="N29" s="262"/>
      <c r="O29" s="234"/>
      <c r="P29" s="273"/>
      <c r="Q29" s="234"/>
      <c r="R29" s="234"/>
      <c r="S29" s="187" t="str">
        <f>IF(AND(OR(S27="CL",S27="ML"),Q25="S"),"OL","")&amp;IF(AND(OR(S27="CH",S27="MH"),Q25="S"),"OH","")</f>
        <v/>
      </c>
      <c r="T29" s="234"/>
      <c r="U29" s="234"/>
      <c r="V29" s="272"/>
      <c r="W29" s="237"/>
      <c r="X29" s="231"/>
      <c r="Y29" s="231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3">
      <c r="B30" s="261"/>
      <c r="C30" s="332" t="s">
        <v>79</v>
      </c>
      <c r="D30" s="333"/>
      <c r="E30" s="333"/>
      <c r="F30" s="232">
        <f>IF(R27=0,"NL",ROUND(Q27,0))</f>
        <v>46</v>
      </c>
      <c r="G30" s="233" t="s">
        <v>84</v>
      </c>
      <c r="H30" s="237"/>
      <c r="I30" s="230" t="s">
        <v>85</v>
      </c>
      <c r="J30" s="270"/>
      <c r="K30" s="270"/>
      <c r="L30" s="270"/>
      <c r="M30" s="270"/>
      <c r="N30" s="262"/>
      <c r="O30" s="234"/>
      <c r="P30" s="234"/>
      <c r="Q30" s="234"/>
      <c r="R30" s="234"/>
      <c r="S30" s="234"/>
      <c r="T30" s="234"/>
      <c r="U30" s="234"/>
      <c r="V30" s="271"/>
      <c r="W30" s="231"/>
      <c r="X30" s="294"/>
      <c r="Y30" s="294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3">
      <c r="B31" s="261"/>
      <c r="C31" s="321" t="s">
        <v>82</v>
      </c>
      <c r="D31" s="322"/>
      <c r="E31" s="322"/>
      <c r="F31" s="235">
        <f>IF(R28=0,"NP",ROUND(Q28,0))</f>
        <v>33</v>
      </c>
      <c r="G31" s="236" t="str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A-7-5</v>
      </c>
      <c r="H31" s="237"/>
      <c r="I31" s="238">
        <f>IF(T25="",0,ROUND(T25,2))</f>
        <v>0</v>
      </c>
      <c r="J31" s="270"/>
      <c r="K31" s="270"/>
      <c r="L31" s="270"/>
      <c r="M31" s="270"/>
      <c r="N31" s="262"/>
      <c r="O31" s="234"/>
      <c r="P31" s="187">
        <v>76.2</v>
      </c>
      <c r="Q31" s="187">
        <v>100</v>
      </c>
      <c r="R31" s="187" t="s">
        <v>36</v>
      </c>
      <c r="S31" s="183">
        <v>38.1</v>
      </c>
      <c r="T31" s="239"/>
      <c r="U31" s="188"/>
      <c r="V31" s="240"/>
      <c r="W31" s="237"/>
      <c r="X31" s="320"/>
      <c r="Y31" s="320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3">
      <c r="B32" s="261"/>
      <c r="C32" s="321" t="s">
        <v>86</v>
      </c>
      <c r="D32" s="322"/>
      <c r="E32" s="322"/>
      <c r="F32" s="235">
        <f>ROUND(Q27-Q28,0)</f>
        <v>12</v>
      </c>
      <c r="G32" s="236" t="s">
        <v>87</v>
      </c>
      <c r="H32" s="254"/>
      <c r="I32" s="238" t="s">
        <v>88</v>
      </c>
      <c r="J32" s="270"/>
      <c r="K32" s="270"/>
      <c r="L32" s="270"/>
      <c r="M32" s="270"/>
      <c r="N32" s="274"/>
      <c r="O32" s="234"/>
      <c r="P32" s="187">
        <v>76.2</v>
      </c>
      <c r="Q32" s="187">
        <v>0</v>
      </c>
      <c r="R32" s="187">
        <v>1</v>
      </c>
      <c r="S32" s="183">
        <v>25.4</v>
      </c>
      <c r="T32" s="239"/>
      <c r="U32" s="188"/>
      <c r="V32" s="240"/>
      <c r="W32" s="237"/>
      <c r="X32" s="320"/>
      <c r="Y32" s="320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3.5" customHeight="1" thickBot="1" x14ac:dyDescent="0.35">
      <c r="B33" s="261"/>
      <c r="C33" s="323" t="s">
        <v>89</v>
      </c>
      <c r="D33" s="324"/>
      <c r="E33" s="324"/>
      <c r="F33" s="241">
        <f>ROUNDUP(((0.2*T19)+(0.005*T19*T21)+(0.01*T20*T22)),0)</f>
        <v>7</v>
      </c>
      <c r="G33" s="242" t="str">
        <f>S27</f>
        <v>ML</v>
      </c>
      <c r="H33" s="254"/>
      <c r="I33" s="238">
        <f>IF(T24="",0,ROUND(T24,2))</f>
        <v>0</v>
      </c>
      <c r="J33" s="270"/>
      <c r="K33" s="270"/>
      <c r="L33" s="270"/>
      <c r="M33" s="270"/>
      <c r="N33" s="274"/>
      <c r="O33" s="234"/>
      <c r="P33" s="187">
        <v>63.5</v>
      </c>
      <c r="Q33" s="187">
        <v>100</v>
      </c>
      <c r="R33" s="187" t="s">
        <v>42</v>
      </c>
      <c r="S33" s="183">
        <v>19.05</v>
      </c>
      <c r="T33" s="239"/>
      <c r="U33" s="188"/>
      <c r="V33" s="240"/>
      <c r="W33" s="237"/>
      <c r="X33" s="295"/>
      <c r="Y33" s="296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3.5" customHeight="1" x14ac:dyDescent="0.3">
      <c r="B34" s="261"/>
      <c r="C34" s="237" t="s">
        <v>90</v>
      </c>
      <c r="D34" s="237"/>
      <c r="E34" s="237"/>
      <c r="F34" s="243"/>
      <c r="G34" s="243"/>
      <c r="H34" s="275"/>
      <c r="I34" s="238" t="s">
        <v>91</v>
      </c>
      <c r="J34" s="270"/>
      <c r="K34" s="270"/>
      <c r="L34" s="270"/>
      <c r="M34" s="270"/>
      <c r="N34" s="274"/>
      <c r="O34" s="234"/>
      <c r="P34" s="187">
        <v>63.5</v>
      </c>
      <c r="Q34" s="187">
        <v>0</v>
      </c>
      <c r="R34" s="187" t="s">
        <v>46</v>
      </c>
      <c r="S34" s="183">
        <v>12.7</v>
      </c>
      <c r="T34" s="239"/>
      <c r="U34" s="188"/>
      <c r="V34" s="244"/>
      <c r="W34" s="231"/>
      <c r="X34" s="295"/>
      <c r="Y34" s="296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6.5" customHeight="1" thickBot="1" x14ac:dyDescent="0.35">
      <c r="B35" s="261"/>
      <c r="C35" s="245"/>
      <c r="D35" s="245"/>
      <c r="E35" s="245"/>
      <c r="F35" s="276"/>
      <c r="G35" s="276"/>
      <c r="H35" s="270"/>
      <c r="I35" s="246">
        <f>IF(T23="",0,ROUND(T23,2))</f>
        <v>0</v>
      </c>
      <c r="J35" s="270"/>
      <c r="K35" s="270"/>
      <c r="L35" s="270"/>
      <c r="M35" s="270"/>
      <c r="N35" s="274"/>
      <c r="O35" s="234"/>
      <c r="P35" s="187">
        <v>50.8</v>
      </c>
      <c r="Q35" s="187">
        <v>100</v>
      </c>
      <c r="R35" s="187" t="s">
        <v>51</v>
      </c>
      <c r="S35" s="183">
        <v>9.52</v>
      </c>
      <c r="T35" s="239"/>
      <c r="U35" s="188"/>
      <c r="V35" s="240"/>
      <c r="W35" s="237"/>
      <c r="X35" s="295"/>
      <c r="Y35" s="296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3.5" customHeight="1" x14ac:dyDescent="0.3">
      <c r="B36" s="261"/>
      <c r="C36" s="277"/>
      <c r="D36" s="277"/>
      <c r="E36" s="277"/>
      <c r="F36" s="278"/>
      <c r="G36" s="278"/>
      <c r="H36" s="270"/>
      <c r="I36" s="237"/>
      <c r="J36" s="270"/>
      <c r="K36" s="270"/>
      <c r="L36" s="270"/>
      <c r="M36" s="237"/>
      <c r="N36" s="274"/>
      <c r="O36" s="234"/>
      <c r="P36" s="187">
        <v>50.8</v>
      </c>
      <c r="Q36" s="187">
        <v>0</v>
      </c>
      <c r="R36" s="187" t="s">
        <v>55</v>
      </c>
      <c r="S36" s="183">
        <v>4.76</v>
      </c>
      <c r="T36" s="239"/>
      <c r="U36" s="188"/>
      <c r="V36" s="240"/>
      <c r="W36" s="237"/>
      <c r="X36" s="295"/>
      <c r="Y36" s="297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3.5" customHeight="1" x14ac:dyDescent="0.3">
      <c r="B37" s="261"/>
      <c r="C37" s="237"/>
      <c r="D37" s="237"/>
      <c r="E37" s="237"/>
      <c r="F37" s="237"/>
      <c r="G37" s="237"/>
      <c r="H37" s="270"/>
      <c r="I37" s="270"/>
      <c r="J37" s="270"/>
      <c r="K37" s="270"/>
      <c r="L37" s="270"/>
      <c r="M37" s="270"/>
      <c r="N37" s="274"/>
      <c r="O37" s="234"/>
      <c r="P37" s="187">
        <v>38.1</v>
      </c>
      <c r="Q37" s="187">
        <v>100</v>
      </c>
      <c r="R37" s="187" t="s">
        <v>58</v>
      </c>
      <c r="S37" s="210">
        <v>2</v>
      </c>
      <c r="T37" s="239"/>
      <c r="U37" s="188"/>
      <c r="V37" s="240"/>
      <c r="W37" s="237"/>
      <c r="X37" s="320"/>
      <c r="Y37" s="320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3.5" customHeight="1" x14ac:dyDescent="0.3">
      <c r="B38" s="261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4"/>
      <c r="O38" s="234"/>
      <c r="P38" s="187">
        <v>38.1</v>
      </c>
      <c r="Q38" s="187">
        <v>0</v>
      </c>
      <c r="R38" s="187" t="s">
        <v>61</v>
      </c>
      <c r="S38" s="183"/>
      <c r="T38" s="239"/>
      <c r="U38" s="188"/>
      <c r="V38" s="240"/>
      <c r="W38" s="237"/>
      <c r="X38" s="237"/>
      <c r="Y38" s="237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.75" customHeight="1" x14ac:dyDescent="0.3">
      <c r="B39" s="261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4"/>
      <c r="O39" s="234"/>
      <c r="P39" s="187">
        <v>25.4</v>
      </c>
      <c r="Q39" s="187">
        <v>100</v>
      </c>
      <c r="R39" s="187" t="s">
        <v>64</v>
      </c>
      <c r="S39" s="183">
        <v>0.42499999999999999</v>
      </c>
      <c r="T39" s="239"/>
      <c r="U39" s="188"/>
      <c r="V39" s="240"/>
      <c r="W39" s="237"/>
      <c r="X39" s="237"/>
      <c r="Y39" s="237"/>
      <c r="Z39" s="60"/>
      <c r="AA39" s="123"/>
      <c r="AB39" s="123"/>
      <c r="AC39" s="316"/>
      <c r="AD39" s="316"/>
      <c r="AE39" s="123"/>
      <c r="AF39" s="123"/>
      <c r="AG39" s="149"/>
      <c r="AH39" s="149"/>
      <c r="AI39" s="123"/>
      <c r="AJ39" s="123"/>
      <c r="AK39" s="123"/>
      <c r="AL39" s="123"/>
    </row>
    <row r="40" spans="2:40" ht="15.75" customHeight="1" x14ac:dyDescent="0.3">
      <c r="B40" s="261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4"/>
      <c r="O40" s="234"/>
      <c r="P40" s="187">
        <v>25.4</v>
      </c>
      <c r="Q40" s="187">
        <v>0</v>
      </c>
      <c r="R40" s="187" t="s">
        <v>66</v>
      </c>
      <c r="S40" s="213">
        <v>0.18</v>
      </c>
      <c r="T40" s="247"/>
      <c r="U40" s="188"/>
      <c r="V40" s="319"/>
      <c r="W40" s="319"/>
      <c r="X40" s="237"/>
      <c r="Y40" s="237"/>
      <c r="Z40" s="60"/>
      <c r="AA40" s="316"/>
      <c r="AB40" s="316"/>
      <c r="AC40" s="123"/>
      <c r="AD40" s="123"/>
      <c r="AE40" s="123"/>
      <c r="AF40" s="123"/>
      <c r="AG40" s="149"/>
      <c r="AH40" s="149"/>
      <c r="AI40" s="123"/>
      <c r="AJ40" s="123"/>
      <c r="AK40" s="123"/>
      <c r="AL40" s="123"/>
    </row>
    <row r="41" spans="2:40" ht="15.75" customHeight="1" x14ac:dyDescent="0.3">
      <c r="B41" s="261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4"/>
      <c r="O41" s="234"/>
      <c r="P41" s="187">
        <v>19.05</v>
      </c>
      <c r="Q41" s="187">
        <v>100</v>
      </c>
      <c r="R41" s="187" t="s">
        <v>68</v>
      </c>
      <c r="S41" s="183">
        <v>7.3999999999999996E-2</v>
      </c>
      <c r="T41" s="239"/>
      <c r="U41" s="188"/>
      <c r="V41" s="279"/>
      <c r="W41" s="280"/>
      <c r="X41" s="237"/>
      <c r="Y41" s="237"/>
      <c r="Z41" s="60"/>
      <c r="AA41" s="123"/>
      <c r="AB41" s="123"/>
      <c r="AC41" s="123"/>
      <c r="AD41" s="123"/>
      <c r="AE41" s="123"/>
      <c r="AF41" s="123"/>
      <c r="AG41" s="149"/>
      <c r="AH41" s="149"/>
      <c r="AI41" s="123"/>
      <c r="AJ41" s="123"/>
      <c r="AK41" s="123"/>
      <c r="AL41" s="123"/>
    </row>
    <row r="42" spans="2:40" ht="14.25" customHeight="1" x14ac:dyDescent="0.3">
      <c r="B42" s="261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4"/>
      <c r="O42" s="234"/>
      <c r="P42" s="187">
        <v>19.05</v>
      </c>
      <c r="Q42" s="187">
        <v>0</v>
      </c>
      <c r="R42" s="234"/>
      <c r="S42" s="234"/>
      <c r="T42" s="239"/>
      <c r="U42" s="188"/>
      <c r="V42" s="279"/>
      <c r="W42" s="237"/>
      <c r="X42" s="237"/>
      <c r="Y42" s="237"/>
      <c r="Z42" s="123"/>
      <c r="AA42" s="123"/>
      <c r="AB42" s="123"/>
      <c r="AC42" s="123"/>
      <c r="AD42" s="123"/>
      <c r="AE42" s="123"/>
      <c r="AF42" s="123"/>
      <c r="AG42" s="149"/>
      <c r="AH42" s="149"/>
      <c r="AI42" s="123"/>
      <c r="AJ42" s="123"/>
      <c r="AK42" s="123"/>
      <c r="AL42" s="123"/>
    </row>
    <row r="43" spans="2:40" ht="15.75" customHeight="1" x14ac:dyDescent="0.3">
      <c r="B43" s="261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4"/>
      <c r="O43" s="234"/>
      <c r="P43" s="187">
        <v>12.7</v>
      </c>
      <c r="Q43" s="187">
        <v>100</v>
      </c>
      <c r="R43" s="234"/>
      <c r="S43" s="234"/>
      <c r="T43" s="239"/>
      <c r="U43" s="188"/>
      <c r="V43" s="281"/>
      <c r="W43" s="282"/>
      <c r="X43" s="237"/>
      <c r="Y43" s="237"/>
      <c r="Z43" s="123"/>
      <c r="AA43" s="123"/>
      <c r="AB43" s="123"/>
      <c r="AC43" s="123"/>
      <c r="AD43" s="123"/>
      <c r="AE43" s="123"/>
      <c r="AF43" s="123"/>
      <c r="AG43" s="149"/>
      <c r="AH43" s="149"/>
      <c r="AI43" s="123"/>
      <c r="AJ43" s="123"/>
      <c r="AK43" s="123"/>
      <c r="AL43" s="123"/>
    </row>
    <row r="44" spans="2:40" ht="15.75" customHeight="1" x14ac:dyDescent="0.3">
      <c r="B44" s="261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4"/>
      <c r="O44" s="234"/>
      <c r="P44" s="187">
        <v>12.7</v>
      </c>
      <c r="Q44" s="187">
        <v>0</v>
      </c>
      <c r="R44" s="234"/>
      <c r="S44" s="234"/>
      <c r="T44" s="234"/>
      <c r="U44" s="271"/>
      <c r="V44" s="281"/>
      <c r="W44" s="282"/>
      <c r="X44" s="237"/>
      <c r="Y44" s="237"/>
      <c r="Z44" s="123"/>
      <c r="AA44" s="123"/>
      <c r="AB44" s="123"/>
      <c r="AC44" s="123"/>
      <c r="AD44" s="123"/>
      <c r="AE44" s="123"/>
      <c r="AF44" s="123"/>
      <c r="AG44" s="149"/>
      <c r="AH44" s="149"/>
      <c r="AI44" s="123"/>
      <c r="AJ44" s="123"/>
      <c r="AK44" s="123"/>
      <c r="AL44" s="123"/>
    </row>
    <row r="45" spans="2:40" ht="15.75" customHeight="1" x14ac:dyDescent="0.3">
      <c r="B45" s="261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4"/>
      <c r="O45" s="234"/>
      <c r="P45" s="187">
        <v>9.52</v>
      </c>
      <c r="Q45" s="187">
        <v>100</v>
      </c>
      <c r="R45" s="234"/>
      <c r="S45" s="234"/>
      <c r="T45" s="234" t="s">
        <v>0</v>
      </c>
      <c r="U45" s="271"/>
      <c r="V45" s="271"/>
      <c r="W45" s="237"/>
      <c r="X45" s="237"/>
      <c r="Y45" s="237"/>
      <c r="Z45" s="123"/>
      <c r="AA45" s="123"/>
      <c r="AB45" s="123"/>
      <c r="AC45" s="123"/>
      <c r="AD45" s="123"/>
      <c r="AE45" s="123"/>
      <c r="AF45" s="123"/>
      <c r="AG45" s="149"/>
      <c r="AH45" s="149"/>
      <c r="AI45" s="123"/>
      <c r="AJ45" s="123"/>
      <c r="AK45" s="123"/>
      <c r="AL45" s="123"/>
    </row>
    <row r="46" spans="2:40" ht="18" customHeight="1" x14ac:dyDescent="0.3">
      <c r="B46" s="261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4"/>
      <c r="O46" s="234"/>
      <c r="P46" s="187">
        <v>9.52</v>
      </c>
      <c r="Q46" s="187">
        <v>0</v>
      </c>
      <c r="R46" s="234"/>
      <c r="S46" s="234"/>
      <c r="T46" s="234" t="s">
        <v>0</v>
      </c>
      <c r="U46" s="271"/>
      <c r="V46" s="271"/>
      <c r="W46" s="237"/>
      <c r="X46" s="237"/>
      <c r="Y46" s="237"/>
      <c r="Z46" s="123"/>
      <c r="AA46" s="123"/>
      <c r="AB46" s="123"/>
      <c r="AC46" s="123"/>
      <c r="AD46" s="123"/>
      <c r="AE46" s="123"/>
      <c r="AF46" s="123"/>
      <c r="AG46" s="149"/>
      <c r="AH46" s="149"/>
      <c r="AI46" s="123"/>
      <c r="AJ46" s="123"/>
      <c r="AK46" s="123"/>
      <c r="AL46" s="123"/>
    </row>
    <row r="47" spans="2:40" ht="18" customHeight="1" x14ac:dyDescent="0.3">
      <c r="B47" s="261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4"/>
      <c r="O47" s="234"/>
      <c r="P47" s="187">
        <v>4.76</v>
      </c>
      <c r="Q47" s="187">
        <v>100</v>
      </c>
      <c r="R47" s="234"/>
      <c r="S47" s="273"/>
      <c r="T47" s="234"/>
      <c r="U47" s="272"/>
      <c r="V47" s="271"/>
      <c r="W47" s="237"/>
      <c r="X47" s="237"/>
      <c r="Y47" s="237"/>
      <c r="Z47" s="123"/>
      <c r="AA47" s="123"/>
      <c r="AB47" s="123"/>
      <c r="AC47" s="123"/>
      <c r="AD47" s="123"/>
      <c r="AE47" s="123"/>
      <c r="AF47" s="123"/>
      <c r="AG47" s="149"/>
      <c r="AH47" s="149"/>
      <c r="AI47" s="123"/>
      <c r="AJ47" s="123"/>
      <c r="AK47" s="123"/>
      <c r="AL47" s="123"/>
    </row>
    <row r="48" spans="2:40" ht="17.25" customHeight="1" x14ac:dyDescent="0.3">
      <c r="B48" s="261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4"/>
      <c r="O48" s="234"/>
      <c r="P48" s="187">
        <v>4.76</v>
      </c>
      <c r="Q48" s="187">
        <v>0</v>
      </c>
      <c r="R48" s="234"/>
      <c r="S48" s="234"/>
      <c r="T48" s="283"/>
      <c r="U48" s="272"/>
      <c r="V48" s="271"/>
      <c r="W48" s="237"/>
      <c r="X48" s="237"/>
      <c r="Y48" s="237"/>
      <c r="Z48" s="123"/>
      <c r="AA48" s="123"/>
      <c r="AB48" s="123"/>
      <c r="AC48" s="123"/>
      <c r="AD48" s="123"/>
      <c r="AE48" s="123"/>
      <c r="AF48" s="123"/>
      <c r="AG48" s="149"/>
      <c r="AH48" s="149"/>
      <c r="AI48" s="123"/>
      <c r="AJ48" s="123"/>
      <c r="AK48" s="123"/>
      <c r="AL48" s="123"/>
    </row>
    <row r="49" spans="2:38" ht="15" customHeight="1" x14ac:dyDescent="0.3">
      <c r="B49" s="261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4"/>
      <c r="O49" s="234">
        <v>2</v>
      </c>
      <c r="P49" s="187">
        <v>2.38</v>
      </c>
      <c r="Q49" s="187">
        <v>100</v>
      </c>
      <c r="R49" s="234"/>
      <c r="S49" s="234"/>
      <c r="T49" s="268"/>
      <c r="U49" s="268"/>
      <c r="V49" s="237"/>
      <c r="W49" s="237"/>
      <c r="X49" s="237"/>
      <c r="Y49" s="237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.75" customHeight="1" x14ac:dyDescent="0.3">
      <c r="B50" s="261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4"/>
      <c r="O50" s="234">
        <v>1.19</v>
      </c>
      <c r="P50" s="187">
        <v>2.38</v>
      </c>
      <c r="Q50" s="187">
        <v>0</v>
      </c>
      <c r="R50" s="234"/>
      <c r="S50" s="234"/>
      <c r="T50" s="268"/>
      <c r="U50" s="268"/>
      <c r="V50" s="282"/>
      <c r="W50" s="282"/>
      <c r="X50" s="231"/>
      <c r="Y50" s="237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3.5" customHeight="1" x14ac:dyDescent="0.3">
      <c r="B51" s="261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4"/>
      <c r="O51" s="234">
        <v>0.59499999999999997</v>
      </c>
      <c r="P51" s="187">
        <v>1.19</v>
      </c>
      <c r="Q51" s="187">
        <v>100</v>
      </c>
      <c r="R51" s="234"/>
      <c r="S51" s="234"/>
      <c r="T51" s="234"/>
      <c r="U51" s="284"/>
      <c r="V51" s="285"/>
      <c r="W51" s="237"/>
      <c r="X51" s="237"/>
      <c r="Y51" s="237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4.25" customHeight="1" x14ac:dyDescent="0.3">
      <c r="B52" s="261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4"/>
      <c r="O52" s="234">
        <v>0.42499999999999999</v>
      </c>
      <c r="P52" s="187">
        <v>1.19</v>
      </c>
      <c r="Q52" s="187">
        <v>0</v>
      </c>
      <c r="R52" s="234"/>
      <c r="S52" s="234"/>
      <c r="T52" s="234"/>
      <c r="U52" s="272"/>
      <c r="V52" s="285"/>
      <c r="W52" s="237"/>
      <c r="X52" s="237"/>
      <c r="Y52" s="237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.75" customHeight="1" x14ac:dyDescent="0.3">
      <c r="B53" s="261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4"/>
      <c r="O53" s="234">
        <v>0.29499999999999998</v>
      </c>
      <c r="P53" s="187">
        <v>0.59499999999999997</v>
      </c>
      <c r="Q53" s="187">
        <v>100</v>
      </c>
      <c r="R53" s="234"/>
      <c r="S53" s="234"/>
      <c r="T53" s="286"/>
      <c r="U53" s="286"/>
      <c r="V53" s="285"/>
      <c r="W53" s="237"/>
      <c r="X53" s="231"/>
      <c r="Y53" s="237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5" customHeight="1" x14ac:dyDescent="0.3">
      <c r="B54" s="261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4"/>
      <c r="O54" s="234"/>
      <c r="P54" s="187">
        <v>0.59499999999999997</v>
      </c>
      <c r="Q54" s="187">
        <v>0</v>
      </c>
      <c r="R54" s="234"/>
      <c r="S54" s="234"/>
      <c r="T54" s="234"/>
      <c r="U54" s="286"/>
      <c r="V54" s="285"/>
      <c r="W54" s="237"/>
      <c r="X54" s="237"/>
      <c r="Y54" s="237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5.75" customHeight="1" x14ac:dyDescent="0.3">
      <c r="B55" s="261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4"/>
      <c r="O55" s="234"/>
      <c r="P55" s="187">
        <v>0.29699999999999999</v>
      </c>
      <c r="Q55" s="187">
        <v>100</v>
      </c>
      <c r="R55" s="234"/>
      <c r="S55" s="234"/>
      <c r="T55" s="234"/>
      <c r="U55" s="286"/>
      <c r="V55" s="285"/>
      <c r="W55" s="237"/>
      <c r="X55" s="237"/>
      <c r="Y55" s="237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5.75" customHeight="1" x14ac:dyDescent="0.3">
      <c r="B56" s="261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4"/>
      <c r="O56" s="234"/>
      <c r="P56" s="187">
        <v>0.29699999999999999</v>
      </c>
      <c r="Q56" s="187">
        <v>0</v>
      </c>
      <c r="R56" s="234"/>
      <c r="S56" s="234"/>
      <c r="T56" s="234"/>
      <c r="U56" s="286"/>
      <c r="V56" s="285"/>
      <c r="W56" s="237"/>
      <c r="X56" s="237"/>
      <c r="Y56" s="237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5.75" customHeight="1" x14ac:dyDescent="0.3">
      <c r="B57" s="261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4"/>
      <c r="O57" s="234"/>
      <c r="P57" s="248">
        <v>0.14899999999999999</v>
      </c>
      <c r="Q57" s="187">
        <v>100</v>
      </c>
      <c r="R57" s="234"/>
      <c r="S57" s="234"/>
      <c r="T57" s="234"/>
      <c r="U57" s="286"/>
      <c r="V57" s="285"/>
      <c r="W57" s="237"/>
      <c r="X57" s="237"/>
      <c r="Y57" s="237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.75" customHeight="1" thickBot="1" x14ac:dyDescent="0.35">
      <c r="B58" s="261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4"/>
      <c r="O58" s="234"/>
      <c r="P58" s="187">
        <v>0.14899999999999999</v>
      </c>
      <c r="Q58" s="187">
        <v>0</v>
      </c>
      <c r="R58" s="234"/>
      <c r="S58" s="234"/>
      <c r="T58" s="234"/>
      <c r="U58" s="286"/>
      <c r="V58" s="285"/>
      <c r="W58" s="237"/>
      <c r="X58" s="237"/>
      <c r="Y58" s="237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6.5" customHeight="1" thickBot="1" x14ac:dyDescent="0.35">
      <c r="B59" s="299" t="s">
        <v>92</v>
      </c>
      <c r="C59" s="300"/>
      <c r="D59" s="300"/>
      <c r="E59" s="300"/>
      <c r="F59" s="300"/>
      <c r="G59" s="300"/>
      <c r="H59" s="301"/>
      <c r="I59" s="302" t="s">
        <v>93</v>
      </c>
      <c r="J59" s="300"/>
      <c r="K59" s="300"/>
      <c r="L59" s="300"/>
      <c r="M59" s="300"/>
      <c r="N59" s="303"/>
      <c r="O59" s="234"/>
      <c r="P59" s="187">
        <v>6.38</v>
      </c>
      <c r="Q59" s="187">
        <v>100</v>
      </c>
      <c r="R59" s="234"/>
      <c r="S59" s="234"/>
      <c r="T59" s="234"/>
      <c r="U59" s="273"/>
      <c r="V59" s="286"/>
      <c r="W59" s="268"/>
      <c r="X59" s="268"/>
      <c r="Y59" s="268"/>
      <c r="AE59" s="142"/>
    </row>
    <row r="60" spans="2:38" ht="12" customHeight="1" x14ac:dyDescent="0.3">
      <c r="B60" s="310" t="s">
        <v>138</v>
      </c>
      <c r="C60" s="311"/>
      <c r="D60" s="311"/>
      <c r="E60" s="311"/>
      <c r="F60" s="311"/>
      <c r="G60" s="311"/>
      <c r="H60" s="312"/>
      <c r="I60" s="304" t="s">
        <v>95</v>
      </c>
      <c r="J60" s="304"/>
      <c r="K60" s="304"/>
      <c r="L60" s="304"/>
      <c r="M60" s="304"/>
      <c r="N60" s="305"/>
      <c r="O60" s="234"/>
      <c r="P60" s="187">
        <v>6.38</v>
      </c>
      <c r="Q60" s="187">
        <v>0</v>
      </c>
      <c r="R60" s="234"/>
      <c r="S60" s="234"/>
      <c r="T60" s="234"/>
      <c r="U60" s="234"/>
      <c r="V60" s="234"/>
      <c r="W60" s="268"/>
      <c r="X60" s="268"/>
      <c r="Y60" s="268"/>
      <c r="AE60" s="142"/>
    </row>
    <row r="61" spans="2:38" ht="14.25" customHeight="1" thickBot="1" x14ac:dyDescent="0.35">
      <c r="B61" s="313"/>
      <c r="C61" s="314"/>
      <c r="D61" s="314"/>
      <c r="E61" s="314"/>
      <c r="F61" s="314"/>
      <c r="G61" s="314"/>
      <c r="H61" s="315"/>
      <c r="I61" s="306"/>
      <c r="J61" s="306"/>
      <c r="K61" s="306"/>
      <c r="L61" s="306"/>
      <c r="M61" s="306"/>
      <c r="N61" s="307"/>
      <c r="O61" s="234"/>
      <c r="P61" s="234"/>
      <c r="Q61" s="234"/>
      <c r="R61" s="234"/>
      <c r="S61" s="234"/>
      <c r="T61" s="234"/>
      <c r="U61" s="234"/>
      <c r="V61" s="234"/>
      <c r="W61" s="268"/>
      <c r="X61" s="268"/>
      <c r="Y61" s="268"/>
      <c r="Z61" s="2"/>
      <c r="AA61" s="308"/>
      <c r="AB61" s="309"/>
      <c r="AE61" s="142"/>
    </row>
    <row r="62" spans="2:38" ht="13.5" customHeight="1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3" spans="2:38" ht="13.5" customHeight="1" x14ac:dyDescent="0.2"/>
    <row r="64" spans="2:38" ht="13.5" customHeight="1" x14ac:dyDescent="0.2"/>
    <row r="65" spans="12:18" ht="13.5" customHeight="1" x14ac:dyDescent="0.2">
      <c r="L65" s="1" t="s">
        <v>97</v>
      </c>
    </row>
    <row r="66" spans="12:18" ht="13.5" customHeight="1" x14ac:dyDescent="0.2"/>
    <row r="67" spans="12:18" ht="13.5" customHeight="1" x14ac:dyDescent="0.2"/>
    <row r="68" spans="12:18" ht="13.5" customHeight="1" x14ac:dyDescent="0.2"/>
    <row r="69" spans="12:18" ht="13.5" customHeight="1" x14ac:dyDescent="0.2"/>
    <row r="70" spans="12:18" ht="13.5" customHeight="1" x14ac:dyDescent="0.2">
      <c r="P70" s="46"/>
      <c r="Q70" s="46"/>
      <c r="R70" s="46"/>
    </row>
    <row r="71" spans="12:18" ht="13.5" customHeight="1" x14ac:dyDescent="0.2"/>
    <row r="72" spans="12:18" ht="13.5" customHeight="1" x14ac:dyDescent="0.2"/>
    <row r="73" spans="12:18" ht="13.5" customHeight="1" x14ac:dyDescent="0.2"/>
    <row r="74" spans="12:18" ht="13.5" customHeight="1" x14ac:dyDescent="0.2"/>
    <row r="75" spans="12:18" ht="13.5" customHeight="1" x14ac:dyDescent="0.2"/>
    <row r="76" spans="12:18" ht="13.5" customHeight="1" x14ac:dyDescent="0.2"/>
    <row r="77" spans="12:18" ht="13.5" customHeight="1" x14ac:dyDescent="0.2"/>
    <row r="78" spans="12:18" ht="13.5" customHeight="1" x14ac:dyDescent="0.2"/>
  </sheetData>
  <mergeCells count="68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B6:D6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I60:N61"/>
    <mergeCell ref="AA61:AB61"/>
    <mergeCell ref="B60:H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7" priority="3" stopIfTrue="1" operator="equal">
      <formula>""""""</formula>
    </cfRule>
  </conditionalFormatting>
  <conditionalFormatting sqref="K18:M18 K23:K25 L25:M25">
    <cfRule type="cellIs" dxfId="16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15" priority="1" stopIfTrue="1" operator="equal">
      <formula>""""""</formula>
    </cfRule>
  </conditionalFormatting>
  <printOptions horizontalCentered="1" verticalCentered="1"/>
  <pageMargins left="0.47244094488188981" right="0.59055118110236227" top="0.47244094488188981" bottom="0.59055118110236227" header="0" footer="0"/>
  <pageSetup scale="81" orientation="portrait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70"/>
  <sheetViews>
    <sheetView topLeftCell="D10" zoomScale="84" zoomScaleNormal="84" workbookViewId="0">
      <selection activeCell="Y35" sqref="Y35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86"/>
      <c r="C2" s="487"/>
      <c r="D2" s="487"/>
      <c r="E2" s="488"/>
      <c r="F2" s="495" t="s">
        <v>1</v>
      </c>
      <c r="G2" s="496"/>
      <c r="H2" s="496"/>
      <c r="I2" s="496"/>
      <c r="J2" s="499"/>
      <c r="K2" s="159" t="s">
        <v>2</v>
      </c>
      <c r="L2" s="501">
        <v>43891</v>
      </c>
      <c r="M2" s="501"/>
      <c r="N2" s="501"/>
      <c r="O2" s="2"/>
      <c r="P2" s="2"/>
      <c r="Q2" s="2"/>
      <c r="R2" s="2"/>
      <c r="S2" s="2"/>
      <c r="T2" s="2"/>
      <c r="U2" s="2"/>
    </row>
    <row r="3" spans="1:58" ht="12" customHeight="1" x14ac:dyDescent="0.2">
      <c r="B3" s="489"/>
      <c r="C3" s="490"/>
      <c r="D3" s="490"/>
      <c r="E3" s="491"/>
      <c r="F3" s="497"/>
      <c r="G3" s="498"/>
      <c r="H3" s="498"/>
      <c r="I3" s="498"/>
      <c r="J3" s="500"/>
      <c r="K3" s="160" t="s">
        <v>3</v>
      </c>
      <c r="L3" s="502">
        <v>3</v>
      </c>
      <c r="M3" s="502"/>
      <c r="N3" s="502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92"/>
      <c r="C4" s="493"/>
      <c r="D4" s="493"/>
      <c r="E4" s="494"/>
      <c r="F4" s="503" t="s">
        <v>4</v>
      </c>
      <c r="G4" s="504"/>
      <c r="H4" s="504"/>
      <c r="I4" s="504"/>
      <c r="J4" s="505"/>
      <c r="K4" s="506" t="s">
        <v>5</v>
      </c>
      <c r="L4" s="506"/>
      <c r="M4" s="507">
        <v>2</v>
      </c>
      <c r="N4" s="508"/>
      <c r="O4" s="464" t="s">
        <v>6</v>
      </c>
      <c r="P4" s="465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483" t="s">
        <v>8</v>
      </c>
      <c r="C5" s="462"/>
      <c r="D5" s="484"/>
      <c r="E5" s="485" t="s">
        <v>98</v>
      </c>
      <c r="F5" s="485"/>
      <c r="G5" s="485"/>
      <c r="H5" s="485"/>
      <c r="I5" s="485"/>
      <c r="J5" s="485"/>
      <c r="K5" s="174"/>
      <c r="L5" s="174"/>
      <c r="M5" s="462"/>
      <c r="N5" s="463"/>
      <c r="O5" s="464" t="s">
        <v>9</v>
      </c>
      <c r="P5" s="465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462"/>
      <c r="G6" s="462"/>
      <c r="H6" s="462"/>
      <c r="I6" s="462"/>
      <c r="J6" s="462"/>
      <c r="K6" s="462"/>
      <c r="L6" s="462"/>
      <c r="M6" s="462"/>
      <c r="N6" s="463"/>
      <c r="O6" s="464" t="s">
        <v>11</v>
      </c>
      <c r="P6" s="465" t="s">
        <v>7</v>
      </c>
      <c r="Q6" s="158">
        <v>67.599999999999994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6" t="s">
        <v>12</v>
      </c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8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9"/>
      <c r="C8" s="470"/>
      <c r="D8" s="470"/>
      <c r="E8" s="470"/>
      <c r="F8" s="470"/>
      <c r="G8" s="470"/>
      <c r="H8" s="470"/>
      <c r="I8" s="470"/>
      <c r="J8" s="470"/>
      <c r="K8" s="470"/>
      <c r="L8" s="470"/>
      <c r="M8" s="470"/>
      <c r="N8" s="471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67.599999999999994</v>
      </c>
      <c r="F10" s="28" t="s">
        <v>20</v>
      </c>
      <c r="G10" s="27">
        <f>IF(Q24="a",Q23,SUM(Q10:Q23))</f>
        <v>1E-3</v>
      </c>
      <c r="H10" s="29"/>
      <c r="I10" s="472" t="s">
        <v>21</v>
      </c>
      <c r="J10" s="473"/>
      <c r="K10" s="473"/>
      <c r="L10" s="473"/>
      <c r="M10" s="474"/>
      <c r="N10" s="30"/>
      <c r="O10" s="31">
        <v>76.2</v>
      </c>
      <c r="P10" s="32">
        <f>IF(X10=0," ",X10)</f>
        <v>100</v>
      </c>
      <c r="Q10" s="154">
        <v>0</v>
      </c>
      <c r="R10" s="33" t="s">
        <v>22</v>
      </c>
      <c r="S10" s="34" t="s">
        <v>23</v>
      </c>
      <c r="T10" s="32">
        <f>X23-35</f>
        <v>65</v>
      </c>
      <c r="U10" s="35"/>
      <c r="V10" s="36">
        <f>IF($Q$24="I",V9+Q10,Q10)</f>
        <v>0</v>
      </c>
      <c r="W10" s="37">
        <f>Q10</f>
        <v>0</v>
      </c>
      <c r="X10" s="37">
        <f>ROUND(G13,0)</f>
        <v>100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5" t="s">
        <v>24</v>
      </c>
      <c r="D11" s="476"/>
      <c r="E11" s="477" t="s">
        <v>25</v>
      </c>
      <c r="F11" s="479" t="s">
        <v>26</v>
      </c>
      <c r="G11" s="479" t="s">
        <v>27</v>
      </c>
      <c r="H11" s="29"/>
      <c r="I11" s="481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>
        <f t="shared" ref="P11:P23" si="0">IF(X11=0," ",X11)</f>
        <v>100</v>
      </c>
      <c r="Q11" s="154">
        <v>0</v>
      </c>
      <c r="R11" s="33" t="s">
        <v>29</v>
      </c>
      <c r="S11" s="34" t="s">
        <v>23</v>
      </c>
      <c r="T11" s="32">
        <f>X23-15</f>
        <v>85</v>
      </c>
      <c r="U11" s="35"/>
      <c r="V11" s="36">
        <f>IF($Q$24="I",V10+Q11,Q11)</f>
        <v>0</v>
      </c>
      <c r="W11" s="37">
        <f>IF(AND(V11=0,X10=100),0,IF(V11=V10,((V12-V10)*(O10-O11)/(O10-O12)+V10),V11))</f>
        <v>0</v>
      </c>
      <c r="X11" s="37">
        <f t="shared" ref="X11:X19" si="1">ROUND(G14,0)</f>
        <v>100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8"/>
      <c r="F12" s="480"/>
      <c r="G12" s="480"/>
      <c r="H12" s="42"/>
      <c r="I12" s="482"/>
      <c r="J12" s="450"/>
      <c r="K12" s="450"/>
      <c r="L12" s="450"/>
      <c r="M12" s="452"/>
      <c r="N12" s="43"/>
      <c r="O12" s="31">
        <v>50.8</v>
      </c>
      <c r="P12" s="32">
        <f t="shared" si="0"/>
        <v>100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>
        <f>IF(AND(V12=0,X11=100),0,IF(V12=V11,((V13-V11)*(O11-O12)/(O11-O13)+V11),V12))</f>
        <v>0</v>
      </c>
      <c r="X12" s="37">
        <f t="shared" si="1"/>
        <v>100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>
        <f t="shared" ref="F13:F26" si="3">(100/$E$10)*E13</f>
        <v>0</v>
      </c>
      <c r="G13" s="52">
        <f>100-F13</f>
        <v>100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>
        <f t="shared" si="0"/>
        <v>100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>
        <f>IF(AND(V13=0,X12=100),0,IF(V13=V12,((V14-V12)*(O12-O13)/(O12-O14)+V12),V13))</f>
        <v>0</v>
      </c>
      <c r="X13" s="37">
        <f t="shared" si="1"/>
        <v>100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>
        <f>W11-W10</f>
        <v>0</v>
      </c>
      <c r="F14" s="63">
        <f>(100/$E$10)*E14</f>
        <v>0</v>
      </c>
      <c r="G14" s="64">
        <f>G13-F14</f>
        <v>100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>
        <f t="shared" si="0"/>
        <v>100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6" si="4">IF($Q$24="I",V13+Q14,Q14)</f>
        <v>0</v>
      </c>
      <c r="W14" s="37">
        <f t="shared" ref="W14:W23" si="5">IF(AND(V14=0,X13=100),0,IF(V14=V13,((V15-V13)*(O13-O14)/(O13-O15)+V13),V14))</f>
        <v>0</v>
      </c>
      <c r="X14" s="37">
        <f>ROUND(G17,0)</f>
        <v>100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>
        <f t="shared" si="3"/>
        <v>0</v>
      </c>
      <c r="G15" s="64">
        <f t="shared" ref="G15:G26" si="7">G14-F15</f>
        <v>100</v>
      </c>
      <c r="H15" s="53"/>
      <c r="I15" s="441" t="s">
        <v>41</v>
      </c>
      <c r="J15" s="442"/>
      <c r="K15" s="163" t="s">
        <v>104</v>
      </c>
      <c r="L15" s="161" t="s">
        <v>106</v>
      </c>
      <c r="M15" s="164" t="s">
        <v>109</v>
      </c>
      <c r="N15" s="56"/>
      <c r="O15" s="31">
        <v>19.05</v>
      </c>
      <c r="P15" s="32">
        <f t="shared" si="0"/>
        <v>100</v>
      </c>
      <c r="Q15" s="154">
        <v>0</v>
      </c>
      <c r="R15" s="33" t="s">
        <v>42</v>
      </c>
      <c r="S15" s="34" t="s">
        <v>43</v>
      </c>
      <c r="T15" s="66">
        <f>IF(X18=0,0,100-X18)</f>
        <v>0</v>
      </c>
      <c r="U15" s="66"/>
      <c r="V15" s="36">
        <f t="shared" si="4"/>
        <v>0</v>
      </c>
      <c r="W15" s="37">
        <f t="shared" si="5"/>
        <v>0</v>
      </c>
      <c r="X15" s="37">
        <f t="shared" si="1"/>
        <v>100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>
        <f t="shared" si="3"/>
        <v>0</v>
      </c>
      <c r="G16" s="64">
        <f t="shared" si="7"/>
        <v>100</v>
      </c>
      <c r="H16" s="53"/>
      <c r="I16" s="441" t="s">
        <v>45</v>
      </c>
      <c r="J16" s="442"/>
      <c r="K16" s="161" t="s">
        <v>105</v>
      </c>
      <c r="L16" s="161" t="s">
        <v>107</v>
      </c>
      <c r="M16" s="162" t="s">
        <v>110</v>
      </c>
      <c r="N16" s="56"/>
      <c r="O16" s="31">
        <v>12.7</v>
      </c>
      <c r="P16" s="32">
        <f t="shared" si="0"/>
        <v>100</v>
      </c>
      <c r="Q16" s="154">
        <v>0</v>
      </c>
      <c r="R16" s="33" t="s">
        <v>46</v>
      </c>
      <c r="S16" s="34" t="s">
        <v>47</v>
      </c>
      <c r="T16" s="66">
        <f>IF(X18=0,100-X23,X18-X23)</f>
        <v>0</v>
      </c>
      <c r="U16" s="66"/>
      <c r="V16" s="36">
        <f>IF($Q$24="I",V15+Q16,Q16)</f>
        <v>0</v>
      </c>
      <c r="W16" s="37">
        <f t="shared" si="5"/>
        <v>0</v>
      </c>
      <c r="X16" s="37">
        <f>ROUND(G19,0)</f>
        <v>100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>
        <f t="shared" si="3"/>
        <v>0</v>
      </c>
      <c r="G17" s="64">
        <f t="shared" si="7"/>
        <v>100</v>
      </c>
      <c r="H17" s="53"/>
      <c r="I17" s="441" t="s">
        <v>50</v>
      </c>
      <c r="J17" s="442"/>
      <c r="K17" s="161">
        <v>10</v>
      </c>
      <c r="L17" s="163" t="s">
        <v>108</v>
      </c>
      <c r="M17" s="164" t="s">
        <v>111</v>
      </c>
      <c r="N17" s="56"/>
      <c r="O17" s="31">
        <v>9.52</v>
      </c>
      <c r="P17" s="32">
        <f t="shared" si="0"/>
        <v>100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>
        <f>IF(AND(V17=0,X16=100),0,IF(V17=V16,((V18-V16)*(O16-O17)/(O16-O18)+V16),V17))</f>
        <v>0</v>
      </c>
      <c r="X17" s="37">
        <f t="shared" si="1"/>
        <v>100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>
        <f t="shared" si="3"/>
        <v>0</v>
      </c>
      <c r="G18" s="64">
        <f t="shared" si="7"/>
        <v>100</v>
      </c>
      <c r="H18" s="53"/>
      <c r="I18" s="443" t="s">
        <v>54</v>
      </c>
      <c r="J18" s="444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>
        <f t="shared" si="0"/>
        <v>100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>
        <f t="shared" si="5"/>
        <v>0</v>
      </c>
      <c r="X18" s="37">
        <f t="shared" si="1"/>
        <v>100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>
        <f t="shared" si="3"/>
        <v>0</v>
      </c>
      <c r="G19" s="64">
        <f t="shared" si="7"/>
        <v>100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>
        <f t="shared" si="0"/>
        <v>100</v>
      </c>
      <c r="Q19" s="154">
        <v>0</v>
      </c>
      <c r="R19" s="33" t="s">
        <v>58</v>
      </c>
      <c r="S19" s="68" t="s">
        <v>59</v>
      </c>
      <c r="T19" s="32">
        <f>IF(AND(T10&gt;1,T10&lt;=40),T10,0)</f>
        <v>0</v>
      </c>
      <c r="U19" s="35"/>
      <c r="V19" s="36">
        <f t="shared" si="4"/>
        <v>0</v>
      </c>
      <c r="W19" s="37">
        <f t="shared" si="5"/>
        <v>0</v>
      </c>
      <c r="X19" s="37">
        <f t="shared" si="1"/>
        <v>100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>
        <f t="shared" si="3"/>
        <v>0</v>
      </c>
      <c r="G20" s="64">
        <f t="shared" si="7"/>
        <v>100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>
        <f t="shared" si="0"/>
        <v>100</v>
      </c>
      <c r="Q20" s="154">
        <v>0</v>
      </c>
      <c r="R20" s="33" t="s">
        <v>61</v>
      </c>
      <c r="S20" s="34" t="s">
        <v>62</v>
      </c>
      <c r="T20" s="32">
        <f>IF(AND(T11&gt;1,T11&lt;=40),ROUND(T11,1),0)</f>
        <v>0</v>
      </c>
      <c r="U20" s="35"/>
      <c r="V20" s="36">
        <f t="shared" si="4"/>
        <v>0</v>
      </c>
      <c r="W20" s="37">
        <f t="shared" si="5"/>
        <v>0</v>
      </c>
      <c r="X20" s="37">
        <f>ROUND(G23,0)</f>
        <v>100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>
        <f t="shared" si="3"/>
        <v>0</v>
      </c>
      <c r="G21" s="64">
        <f t="shared" si="7"/>
        <v>100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>
        <f t="shared" si="0"/>
        <v>100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>
        <f t="shared" si="5"/>
        <v>0</v>
      </c>
      <c r="X21" s="37">
        <f>ROUND(G24,0)</f>
        <v>100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>
        <f t="shared" si="3"/>
        <v>0</v>
      </c>
      <c r="G22" s="64">
        <f t="shared" si="7"/>
        <v>100</v>
      </c>
      <c r="H22" s="53"/>
      <c r="I22" s="441" t="s">
        <v>41</v>
      </c>
      <c r="J22" s="442"/>
      <c r="K22" s="161" t="s">
        <v>101</v>
      </c>
      <c r="L22" s="163" t="s">
        <v>112</v>
      </c>
      <c r="M22" s="163" t="s">
        <v>99</v>
      </c>
      <c r="N22" s="56"/>
      <c r="O22" s="71">
        <v>0.42499999999999999</v>
      </c>
      <c r="P22" s="32">
        <f>IF(X22=0," ",X22)</f>
        <v>100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>
        <f t="shared" si="5"/>
        <v>0</v>
      </c>
      <c r="X22" s="37">
        <f>ROUND(G25,0)</f>
        <v>100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>
        <f t="shared" si="3"/>
        <v>0</v>
      </c>
      <c r="G23" s="64">
        <f t="shared" si="7"/>
        <v>100</v>
      </c>
      <c r="H23" s="53"/>
      <c r="I23" s="441" t="s">
        <v>45</v>
      </c>
      <c r="J23" s="442"/>
      <c r="K23" s="161" t="s">
        <v>102</v>
      </c>
      <c r="L23" s="163" t="s">
        <v>113</v>
      </c>
      <c r="M23" s="163" t="s">
        <v>100</v>
      </c>
      <c r="N23" s="56"/>
      <c r="O23" s="31">
        <v>7.3999999999999996E-2</v>
      </c>
      <c r="P23" s="32">
        <f t="shared" si="0"/>
        <v>100</v>
      </c>
      <c r="Q23" s="156">
        <v>1E-3</v>
      </c>
      <c r="R23" s="34" t="s">
        <v>68</v>
      </c>
      <c r="S23" s="72" t="s">
        <v>69</v>
      </c>
      <c r="T23" s="73" t="str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/>
      </c>
      <c r="U23" s="74"/>
      <c r="V23" s="36">
        <f t="shared" si="4"/>
        <v>1E-3</v>
      </c>
      <c r="W23" s="37">
        <f t="shared" si="5"/>
        <v>1E-3</v>
      </c>
      <c r="X23" s="37">
        <f>ROUND(G26,0)</f>
        <v>100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>
        <f t="shared" si="3"/>
        <v>0</v>
      </c>
      <c r="G24" s="64">
        <f t="shared" si="7"/>
        <v>100</v>
      </c>
      <c r="H24" s="53"/>
      <c r="I24" s="441" t="s">
        <v>50</v>
      </c>
      <c r="J24" s="442"/>
      <c r="K24" s="163" t="s">
        <v>103</v>
      </c>
      <c r="L24" s="163" t="s">
        <v>114</v>
      </c>
      <c r="M24" s="169">
        <v>21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str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/>
      </c>
      <c r="U24" s="74"/>
      <c r="V24" s="36" t="e">
        <f t="shared" si="4"/>
        <v>#VALUE!</v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>
        <f t="shared" si="3"/>
        <v>0</v>
      </c>
      <c r="G25" s="64">
        <f t="shared" si="7"/>
        <v>100</v>
      </c>
      <c r="H25" s="53"/>
      <c r="I25" s="443" t="s">
        <v>54</v>
      </c>
      <c r="J25" s="444"/>
      <c r="K25" s="165" t="e">
        <f>(K22-K23)*100/(K23-K24)</f>
        <v>#VALUE!</v>
      </c>
      <c r="L25" s="165" t="e">
        <f>(L22-L23)*100/(L23-L24)</f>
        <v>#VALUE!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#VALUE!</v>
      </c>
      <c r="S25" s="72" t="s">
        <v>74</v>
      </c>
      <c r="T25" s="73" t="str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/>
      </c>
      <c r="U25" s="74"/>
      <c r="V25" s="36" t="e">
        <f t="shared" si="4"/>
        <v>#VALUE!</v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1E-3</v>
      </c>
      <c r="F26" s="63">
        <f t="shared" si="3"/>
        <v>1.4792899408284025E-3</v>
      </c>
      <c r="G26" s="64">
        <f t="shared" si="7"/>
        <v>99.998520710059168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36" t="e">
        <f t="shared" si="4"/>
        <v>#VALUE!</v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>
        <f>Q6-SUM(E13:E26)</f>
        <v>67.59899999999999</v>
      </c>
      <c r="F27" s="85">
        <f>100-SUM(F13:F26)</f>
        <v>99.998520710059168</v>
      </c>
      <c r="G27" s="86"/>
      <c r="H27" s="53"/>
      <c r="I27" s="87">
        <f>IF(OR(I35=0,I31=0),0,ROUND(I35/I31,0))</f>
        <v>0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#VALUE!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>
        <f>SUM(E13:E27)</f>
        <v>67.599999999999994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#VALUE!</v>
      </c>
      <c r="R28" s="89" t="e">
        <f>ROUND(Q28,0)</f>
        <v>#VALUE!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#VALUE!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>
        <f>IF(OR(I35=0,I33=0,I31=0),0,ROUND((I33^2/(I31*I35)),0))</f>
        <v>0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#VALUE!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#VALUE!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#VALUE!</v>
      </c>
      <c r="H31" s="103"/>
      <c r="I31" s="104">
        <f>IF(T25="",0,ROUND(T25,2))</f>
        <v>0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#VALUE!</v>
      </c>
      <c r="G33" s="110" t="e">
        <f>S27</f>
        <v>#VALUE!</v>
      </c>
      <c r="H33" s="107"/>
      <c r="I33" s="104">
        <f>IF(T24="",0,ROUND(T24,2))</f>
        <v>0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>
        <f>IF(T23="",0,ROUND(T23,2))</f>
        <v>0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4" priority="3" stopIfTrue="1" operator="equal">
      <formula>""""""</formula>
    </cfRule>
  </conditionalFormatting>
  <conditionalFormatting sqref="K18:M18 K23:K25 L25:M25">
    <cfRule type="cellIs" dxfId="13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12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70"/>
  <sheetViews>
    <sheetView topLeftCell="A11" workbookViewId="0">
      <selection activeCell="Q6" sqref="Q6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86"/>
      <c r="C2" s="487"/>
      <c r="D2" s="487"/>
      <c r="E2" s="488"/>
      <c r="F2" s="495" t="s">
        <v>1</v>
      </c>
      <c r="G2" s="496"/>
      <c r="H2" s="496"/>
      <c r="I2" s="496"/>
      <c r="J2" s="499"/>
      <c r="K2" s="159" t="s">
        <v>2</v>
      </c>
      <c r="L2" s="501">
        <v>43891</v>
      </c>
      <c r="M2" s="501"/>
      <c r="N2" s="501"/>
      <c r="O2" s="2"/>
      <c r="P2" s="2"/>
      <c r="Q2" s="2"/>
      <c r="R2" s="2"/>
      <c r="S2" s="2"/>
      <c r="T2" s="2"/>
      <c r="U2" s="2"/>
    </row>
    <row r="3" spans="1:58" ht="12" customHeight="1" x14ac:dyDescent="0.2">
      <c r="B3" s="489"/>
      <c r="C3" s="490"/>
      <c r="D3" s="490"/>
      <c r="E3" s="491"/>
      <c r="F3" s="497"/>
      <c r="G3" s="498"/>
      <c r="H3" s="498"/>
      <c r="I3" s="498"/>
      <c r="J3" s="500"/>
      <c r="K3" s="160" t="s">
        <v>3</v>
      </c>
      <c r="L3" s="502">
        <v>3</v>
      </c>
      <c r="M3" s="502"/>
      <c r="N3" s="502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92"/>
      <c r="C4" s="493"/>
      <c r="D4" s="493"/>
      <c r="E4" s="494"/>
      <c r="F4" s="503" t="s">
        <v>4</v>
      </c>
      <c r="G4" s="504"/>
      <c r="H4" s="504"/>
      <c r="I4" s="504"/>
      <c r="J4" s="505"/>
      <c r="K4" s="506" t="s">
        <v>5</v>
      </c>
      <c r="L4" s="506"/>
      <c r="M4" s="507">
        <v>2</v>
      </c>
      <c r="N4" s="508"/>
      <c r="O4" s="464" t="s">
        <v>6</v>
      </c>
      <c r="P4" s="465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483" t="s">
        <v>8</v>
      </c>
      <c r="C5" s="462"/>
      <c r="D5" s="484"/>
      <c r="E5" s="485" t="s">
        <v>115</v>
      </c>
      <c r="F5" s="485"/>
      <c r="G5" s="485"/>
      <c r="H5" s="485"/>
      <c r="I5" s="485"/>
      <c r="J5" s="485"/>
      <c r="K5" s="174"/>
      <c r="L5" s="174"/>
      <c r="M5" s="462"/>
      <c r="N5" s="463"/>
      <c r="O5" s="464" t="s">
        <v>9</v>
      </c>
      <c r="P5" s="465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462"/>
      <c r="G6" s="462"/>
      <c r="H6" s="462"/>
      <c r="I6" s="462"/>
      <c r="J6" s="462"/>
      <c r="K6" s="462"/>
      <c r="L6" s="462"/>
      <c r="M6" s="462"/>
      <c r="N6" s="463"/>
      <c r="O6" s="464" t="s">
        <v>11</v>
      </c>
      <c r="P6" s="465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6" t="s">
        <v>12</v>
      </c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8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9"/>
      <c r="C8" s="470"/>
      <c r="D8" s="470"/>
      <c r="E8" s="470"/>
      <c r="F8" s="470"/>
      <c r="G8" s="470"/>
      <c r="H8" s="470"/>
      <c r="I8" s="470"/>
      <c r="J8" s="470"/>
      <c r="K8" s="470"/>
      <c r="L8" s="470"/>
      <c r="M8" s="470"/>
      <c r="N8" s="471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72" t="s">
        <v>21</v>
      </c>
      <c r="J10" s="473"/>
      <c r="K10" s="473"/>
      <c r="L10" s="473"/>
      <c r="M10" s="474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5" t="s">
        <v>24</v>
      </c>
      <c r="D11" s="476"/>
      <c r="E11" s="477" t="s">
        <v>25</v>
      </c>
      <c r="F11" s="479" t="s">
        <v>26</v>
      </c>
      <c r="G11" s="479" t="s">
        <v>27</v>
      </c>
      <c r="H11" s="29"/>
      <c r="I11" s="481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8"/>
      <c r="F12" s="480"/>
      <c r="G12" s="480"/>
      <c r="H12" s="42"/>
      <c r="I12" s="482"/>
      <c r="J12" s="450"/>
      <c r="K12" s="450"/>
      <c r="L12" s="450"/>
      <c r="M12" s="452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41" t="s">
        <v>41</v>
      </c>
      <c r="J15" s="442"/>
      <c r="K15" s="163" t="s">
        <v>118</v>
      </c>
      <c r="L15" s="161">
        <v>51</v>
      </c>
      <c r="M15" s="164" t="s">
        <v>123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41" t="s">
        <v>45</v>
      </c>
      <c r="J16" s="442"/>
      <c r="K16" s="161" t="s">
        <v>119</v>
      </c>
      <c r="L16" s="161" t="s">
        <v>121</v>
      </c>
      <c r="M16" s="162" t="s">
        <v>124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41" t="s">
        <v>50</v>
      </c>
      <c r="J17" s="442"/>
      <c r="K17" s="161" t="s">
        <v>120</v>
      </c>
      <c r="L17" s="163" t="s">
        <v>122</v>
      </c>
      <c r="M17" s="164" t="s">
        <v>111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43" t="s">
        <v>54</v>
      </c>
      <c r="J18" s="444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41" t="s">
        <v>41</v>
      </c>
      <c r="J22" s="442"/>
      <c r="K22" s="161">
        <v>0</v>
      </c>
      <c r="L22" s="163">
        <v>0</v>
      </c>
      <c r="M22" s="163" t="s">
        <v>116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41" t="s">
        <v>45</v>
      </c>
      <c r="J23" s="442"/>
      <c r="K23" s="161">
        <v>0</v>
      </c>
      <c r="L23" s="163">
        <v>0</v>
      </c>
      <c r="M23" s="163" t="s">
        <v>117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41" t="s">
        <v>50</v>
      </c>
      <c r="J24" s="442"/>
      <c r="K24" s="163">
        <v>0</v>
      </c>
      <c r="L24" s="163">
        <v>0</v>
      </c>
      <c r="M24" s="169">
        <v>21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43" t="s">
        <v>54</v>
      </c>
      <c r="J25" s="444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#VALUE!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11" priority="3" stopIfTrue="1" operator="equal">
      <formula>""""""</formula>
    </cfRule>
  </conditionalFormatting>
  <conditionalFormatting sqref="K18:M18 K23:K25 L25:M25">
    <cfRule type="cellIs" dxfId="10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9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70"/>
  <sheetViews>
    <sheetView topLeftCell="A25" workbookViewId="0">
      <selection activeCell="P10" sqref="P10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86"/>
      <c r="C2" s="487"/>
      <c r="D2" s="487"/>
      <c r="E2" s="488"/>
      <c r="F2" s="495" t="s">
        <v>1</v>
      </c>
      <c r="G2" s="496"/>
      <c r="H2" s="496"/>
      <c r="I2" s="496"/>
      <c r="J2" s="499"/>
      <c r="K2" s="159" t="s">
        <v>2</v>
      </c>
      <c r="L2" s="501">
        <v>43891</v>
      </c>
      <c r="M2" s="501"/>
      <c r="N2" s="501"/>
      <c r="O2" s="2"/>
      <c r="P2" s="2"/>
      <c r="Q2" s="2"/>
      <c r="R2" s="2"/>
      <c r="S2" s="2"/>
      <c r="T2" s="2"/>
      <c r="U2" s="2"/>
    </row>
    <row r="3" spans="1:58" ht="12" customHeight="1" x14ac:dyDescent="0.2">
      <c r="B3" s="489"/>
      <c r="C3" s="490"/>
      <c r="D3" s="490"/>
      <c r="E3" s="491"/>
      <c r="F3" s="497"/>
      <c r="G3" s="498"/>
      <c r="H3" s="498"/>
      <c r="I3" s="498"/>
      <c r="J3" s="500"/>
      <c r="K3" s="160" t="s">
        <v>3</v>
      </c>
      <c r="L3" s="502">
        <v>3</v>
      </c>
      <c r="M3" s="502"/>
      <c r="N3" s="502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92"/>
      <c r="C4" s="493"/>
      <c r="D4" s="493"/>
      <c r="E4" s="494"/>
      <c r="F4" s="503" t="s">
        <v>4</v>
      </c>
      <c r="G4" s="504"/>
      <c r="H4" s="504"/>
      <c r="I4" s="504"/>
      <c r="J4" s="505"/>
      <c r="K4" s="506" t="s">
        <v>5</v>
      </c>
      <c r="L4" s="506"/>
      <c r="M4" s="507">
        <v>2</v>
      </c>
      <c r="N4" s="508"/>
      <c r="O4" s="464" t="s">
        <v>6</v>
      </c>
      <c r="P4" s="465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483" t="s">
        <v>8</v>
      </c>
      <c r="C5" s="462"/>
      <c r="D5" s="484"/>
      <c r="E5" s="485" t="s">
        <v>125</v>
      </c>
      <c r="F5" s="485"/>
      <c r="G5" s="485"/>
      <c r="H5" s="485"/>
      <c r="I5" s="485"/>
      <c r="J5" s="485"/>
      <c r="K5" s="174"/>
      <c r="L5" s="174"/>
      <c r="M5" s="462"/>
      <c r="N5" s="463"/>
      <c r="O5" s="464" t="s">
        <v>9</v>
      </c>
      <c r="P5" s="465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462"/>
      <c r="G6" s="462"/>
      <c r="H6" s="462"/>
      <c r="I6" s="462"/>
      <c r="J6" s="462"/>
      <c r="K6" s="462"/>
      <c r="L6" s="462"/>
      <c r="M6" s="462"/>
      <c r="N6" s="463"/>
      <c r="O6" s="464" t="s">
        <v>11</v>
      </c>
      <c r="P6" s="465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6" t="s">
        <v>12</v>
      </c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8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9"/>
      <c r="C8" s="470"/>
      <c r="D8" s="470"/>
      <c r="E8" s="470"/>
      <c r="F8" s="470"/>
      <c r="G8" s="470"/>
      <c r="H8" s="470"/>
      <c r="I8" s="470"/>
      <c r="J8" s="470"/>
      <c r="K8" s="470"/>
      <c r="L8" s="470"/>
      <c r="M8" s="470"/>
      <c r="N8" s="471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72" t="s">
        <v>21</v>
      </c>
      <c r="J10" s="473"/>
      <c r="K10" s="473"/>
      <c r="L10" s="473"/>
      <c r="M10" s="474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5" t="s">
        <v>24</v>
      </c>
      <c r="D11" s="476"/>
      <c r="E11" s="477" t="s">
        <v>25</v>
      </c>
      <c r="F11" s="479" t="s">
        <v>26</v>
      </c>
      <c r="G11" s="479" t="s">
        <v>27</v>
      </c>
      <c r="H11" s="29"/>
      <c r="I11" s="481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8"/>
      <c r="F12" s="480"/>
      <c r="G12" s="480"/>
      <c r="H12" s="42"/>
      <c r="I12" s="482"/>
      <c r="J12" s="450"/>
      <c r="K12" s="450"/>
      <c r="L12" s="450"/>
      <c r="M12" s="452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#VALUE!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#VALUE!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#VALUE!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41" t="s">
        <v>41</v>
      </c>
      <c r="J15" s="442"/>
      <c r="K15" s="163" t="s">
        <v>127</v>
      </c>
      <c r="L15" s="161" t="s">
        <v>128</v>
      </c>
      <c r="M15" s="164" t="s">
        <v>108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41" t="s">
        <v>45</v>
      </c>
      <c r="J16" s="442"/>
      <c r="K16" s="161">
        <v>18</v>
      </c>
      <c r="L16" s="161" t="s">
        <v>137</v>
      </c>
      <c r="M16" s="162">
        <v>16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41" t="s">
        <v>50</v>
      </c>
      <c r="J17" s="442"/>
      <c r="K17" s="161" t="s">
        <v>120</v>
      </c>
      <c r="L17" s="163" t="s">
        <v>129</v>
      </c>
      <c r="M17" s="164" t="s">
        <v>129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#VALUE!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43" t="s">
        <v>54</v>
      </c>
      <c r="J18" s="444"/>
      <c r="K18" s="165" t="e">
        <f>(K15-K16)*100/(K16-K17)</f>
        <v>#VALUE!</v>
      </c>
      <c r="L18" s="165" t="e">
        <f>(L15-L16)*100/(L16-L17)</f>
        <v>#VALUE!</v>
      </c>
      <c r="M18" s="166" t="e">
        <f>(M15-M16)*100/(M16-M17)</f>
        <v>#VALUE!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#VALUE!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41" t="s">
        <v>41</v>
      </c>
      <c r="J22" s="442"/>
      <c r="K22" s="161">
        <v>0</v>
      </c>
      <c r="L22" s="163">
        <v>0</v>
      </c>
      <c r="M22" s="163" t="s">
        <v>126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#VALUE!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41" t="s">
        <v>45</v>
      </c>
      <c r="J23" s="442"/>
      <c r="K23" s="161">
        <v>0</v>
      </c>
      <c r="L23" s="163">
        <v>0</v>
      </c>
      <c r="M23" s="163" t="s">
        <v>114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41" t="s">
        <v>50</v>
      </c>
      <c r="J24" s="442"/>
      <c r="K24" s="163">
        <v>0</v>
      </c>
      <c r="L24" s="163">
        <v>0</v>
      </c>
      <c r="M24" s="169" t="s">
        <v>103</v>
      </c>
      <c r="N24" s="56"/>
      <c r="O24" s="22"/>
      <c r="P24" s="22"/>
      <c r="Q24" s="75" t="s">
        <v>70</v>
      </c>
      <c r="R24" s="76" t="e">
        <f>SLOPE(K18:M18,LN(K14:M14))</f>
        <v>#VALUE!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43" t="s">
        <v>54</v>
      </c>
      <c r="J25" s="444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#VALUE!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#VALUE!</v>
      </c>
      <c r="R27" s="89" t="e">
        <f>ROUND(Q27,0)</f>
        <v>#VALUE!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#VALUE!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#VALUE!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5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8" priority="3" stopIfTrue="1" operator="equal">
      <formula>""""""</formula>
    </cfRule>
  </conditionalFormatting>
  <conditionalFormatting sqref="K18:M18 K23:K25 L25:M25">
    <cfRule type="cellIs" dxfId="7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6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70"/>
  <sheetViews>
    <sheetView workbookViewId="0">
      <selection activeCell="M18" sqref="M18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86"/>
      <c r="C2" s="487"/>
      <c r="D2" s="487"/>
      <c r="E2" s="488"/>
      <c r="F2" s="495" t="s">
        <v>1</v>
      </c>
      <c r="G2" s="496"/>
      <c r="H2" s="496"/>
      <c r="I2" s="496"/>
      <c r="J2" s="499"/>
      <c r="K2" s="159" t="s">
        <v>2</v>
      </c>
      <c r="L2" s="501">
        <v>43891</v>
      </c>
      <c r="M2" s="501"/>
      <c r="N2" s="501"/>
      <c r="O2" s="2"/>
      <c r="P2" s="2"/>
      <c r="Q2" s="2"/>
      <c r="R2" s="2"/>
      <c r="S2" s="2"/>
      <c r="T2" s="2"/>
      <c r="U2" s="2"/>
    </row>
    <row r="3" spans="1:58" ht="12" customHeight="1" x14ac:dyDescent="0.2">
      <c r="B3" s="489"/>
      <c r="C3" s="490"/>
      <c r="D3" s="490"/>
      <c r="E3" s="491"/>
      <c r="F3" s="497"/>
      <c r="G3" s="498"/>
      <c r="H3" s="498"/>
      <c r="I3" s="498"/>
      <c r="J3" s="500"/>
      <c r="K3" s="160" t="s">
        <v>3</v>
      </c>
      <c r="L3" s="502">
        <v>3</v>
      </c>
      <c r="M3" s="502"/>
      <c r="N3" s="502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92"/>
      <c r="C4" s="493"/>
      <c r="D4" s="493"/>
      <c r="E4" s="494"/>
      <c r="F4" s="503" t="s">
        <v>4</v>
      </c>
      <c r="G4" s="504"/>
      <c r="H4" s="504"/>
      <c r="I4" s="504"/>
      <c r="J4" s="505"/>
      <c r="K4" s="506" t="s">
        <v>5</v>
      </c>
      <c r="L4" s="506"/>
      <c r="M4" s="507">
        <v>2</v>
      </c>
      <c r="N4" s="508"/>
      <c r="O4" s="464" t="s">
        <v>6</v>
      </c>
      <c r="P4" s="465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483" t="s">
        <v>8</v>
      </c>
      <c r="C5" s="462"/>
      <c r="D5" s="484"/>
      <c r="E5" s="485" t="s">
        <v>133</v>
      </c>
      <c r="F5" s="485"/>
      <c r="G5" s="485"/>
      <c r="H5" s="485"/>
      <c r="I5" s="485"/>
      <c r="J5" s="485"/>
      <c r="K5" s="174"/>
      <c r="L5" s="174"/>
      <c r="M5" s="462"/>
      <c r="N5" s="463"/>
      <c r="O5" s="464" t="s">
        <v>9</v>
      </c>
      <c r="P5" s="465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462"/>
      <c r="G6" s="462"/>
      <c r="H6" s="462"/>
      <c r="I6" s="462"/>
      <c r="J6" s="462"/>
      <c r="K6" s="462"/>
      <c r="L6" s="462"/>
      <c r="M6" s="462"/>
      <c r="N6" s="463"/>
      <c r="O6" s="464" t="s">
        <v>11</v>
      </c>
      <c r="P6" s="465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6" t="s">
        <v>12</v>
      </c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8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9"/>
      <c r="C8" s="470"/>
      <c r="D8" s="470"/>
      <c r="E8" s="470"/>
      <c r="F8" s="470"/>
      <c r="G8" s="470"/>
      <c r="H8" s="470"/>
      <c r="I8" s="470"/>
      <c r="J8" s="470"/>
      <c r="K8" s="470"/>
      <c r="L8" s="470"/>
      <c r="M8" s="470"/>
      <c r="N8" s="471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472" t="s">
        <v>21</v>
      </c>
      <c r="J10" s="473"/>
      <c r="K10" s="473"/>
      <c r="L10" s="473"/>
      <c r="M10" s="474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5" t="s">
        <v>24</v>
      </c>
      <c r="D11" s="476"/>
      <c r="E11" s="477" t="s">
        <v>25</v>
      </c>
      <c r="F11" s="479" t="s">
        <v>26</v>
      </c>
      <c r="G11" s="479" t="s">
        <v>27</v>
      </c>
      <c r="H11" s="29"/>
      <c r="I11" s="481" t="s">
        <v>28</v>
      </c>
      <c r="J11" s="449"/>
      <c r="K11" s="449">
        <v>1</v>
      </c>
      <c r="L11" s="449">
        <v>2</v>
      </c>
      <c r="M11" s="451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8"/>
      <c r="F12" s="480"/>
      <c r="G12" s="480"/>
      <c r="H12" s="42"/>
      <c r="I12" s="482"/>
      <c r="J12" s="450"/>
      <c r="K12" s="450"/>
      <c r="L12" s="450"/>
      <c r="M12" s="452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 t="e">
        <f>Q27-40</f>
        <v>#DIV/0!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453" t="s">
        <v>35</v>
      </c>
      <c r="J13" s="454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#DIV/0!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447" t="s">
        <v>39</v>
      </c>
      <c r="J14" s="448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 t="e">
        <f>Q27-30</f>
        <v>#DIV/0!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441" t="s">
        <v>41</v>
      </c>
      <c r="J15" s="442"/>
      <c r="K15" s="163">
        <v>0</v>
      </c>
      <c r="L15" s="161">
        <v>0</v>
      </c>
      <c r="M15" s="164">
        <v>0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441" t="s">
        <v>45</v>
      </c>
      <c r="J16" s="442"/>
      <c r="K16" s="161">
        <v>0</v>
      </c>
      <c r="L16" s="161">
        <v>0</v>
      </c>
      <c r="M16" s="162">
        <v>0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441" t="s">
        <v>50</v>
      </c>
      <c r="J17" s="442"/>
      <c r="K17" s="161">
        <v>0</v>
      </c>
      <c r="L17" s="163">
        <v>0</v>
      </c>
      <c r="M17" s="164">
        <v>0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 t="e">
        <f>(R27-20)*0.73</f>
        <v>#DIV/0!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443" t="s">
        <v>54</v>
      </c>
      <c r="J18" s="444"/>
      <c r="K18" s="165" t="e">
        <f>(K15-K16)*100/(K16-K17)</f>
        <v>#DIV/0!</v>
      </c>
      <c r="L18" s="165" t="e">
        <f>(L15-L16)*100/(L16-L17)</f>
        <v>#DIV/0!</v>
      </c>
      <c r="M18" s="166" t="e">
        <f>(M15-M16)*100/(M16-M17)</f>
        <v>#DIV/0!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456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459" t="s">
        <v>28</v>
      </c>
      <c r="J20" s="460"/>
      <c r="K20" s="173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447" t="s">
        <v>35</v>
      </c>
      <c r="J21" s="44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 t="e">
        <f>IF(AND(T12&gt;=1,T12&lt;=20),ROUND(T12,1),0)</f>
        <v>#DIV/0!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441" t="s">
        <v>41</v>
      </c>
      <c r="J22" s="442"/>
      <c r="K22" s="161">
        <v>0</v>
      </c>
      <c r="L22" s="163">
        <v>0</v>
      </c>
      <c r="M22" s="163" t="s">
        <v>134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#DIV/0!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441" t="s">
        <v>45</v>
      </c>
      <c r="J23" s="442"/>
      <c r="K23" s="161">
        <v>0</v>
      </c>
      <c r="L23" s="163">
        <v>0</v>
      </c>
      <c r="M23" s="163" t="s">
        <v>135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441" t="s">
        <v>50</v>
      </c>
      <c r="J24" s="442"/>
      <c r="K24" s="163">
        <v>0</v>
      </c>
      <c r="L24" s="163">
        <v>0</v>
      </c>
      <c r="M24" s="169" t="s">
        <v>136</v>
      </c>
      <c r="N24" s="56"/>
      <c r="O24" s="22"/>
      <c r="P24" s="22"/>
      <c r="Q24" s="75" t="s">
        <v>70</v>
      </c>
      <c r="R24" s="76" t="e">
        <f>SLOPE(K18:M18,LN(K14:M14))</f>
        <v>#DIV/0!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443" t="s">
        <v>54</v>
      </c>
      <c r="J25" s="444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445" t="s">
        <v>73</v>
      </c>
      <c r="P25" s="446"/>
      <c r="Q25" s="78"/>
      <c r="R25" s="79" t="e">
        <f>INTERCEPT(K18:M18,LN(K14:M14))</f>
        <v>#DIV/0!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430" t="s">
        <v>79</v>
      </c>
      <c r="P27" s="431"/>
      <c r="Q27" s="73" t="e">
        <f>IF(AND(L14="",M14="",K14&lt;=30,K14&gt;=20),((K14/25)^0.121)*K18,"")&amp;IF(AND(L14="",M14="",OR(K14&gt;30,K14&lt;20)),0,"")&amp;IF(AND(L14&gt;1,M14&gt;1),($R$24*LN(25))+$R$25,"")</f>
        <v>#DIV/0!</v>
      </c>
      <c r="R27" s="89" t="e">
        <f>ROUND(Q27,0)</f>
        <v>#DIV/0!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432" t="s">
        <v>80</v>
      </c>
      <c r="D28" s="433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430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437" t="s">
        <v>79</v>
      </c>
      <c r="D30" s="438"/>
      <c r="E30" s="438"/>
      <c r="F30" s="96" t="e">
        <f>IF(R27=0,"NL",ROUND(Q27,0))</f>
        <v>#DIV/0!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439" t="s">
        <v>82</v>
      </c>
      <c r="D31" s="440"/>
      <c r="E31" s="440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425" t="s">
        <v>86</v>
      </c>
      <c r="D32" s="426"/>
      <c r="E32" s="426"/>
      <c r="F32" s="101" t="e">
        <f>ROUND(R27-R28,0)</f>
        <v>#DIV/0!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427" t="s">
        <v>89</v>
      </c>
      <c r="D33" s="428"/>
      <c r="E33" s="428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1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1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1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2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0"/>
      <c r="AH39" s="170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0"/>
      <c r="AH40" s="170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0"/>
      <c r="AH41" s="170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0"/>
      <c r="AH42" s="170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0"/>
      <c r="AH43" s="170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0"/>
      <c r="AH44" s="170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0"/>
      <c r="AH45" s="170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0"/>
      <c r="AH46" s="170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0"/>
      <c r="AH47" s="170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0"/>
      <c r="AH48" s="170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4.45" customHeight="1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421" t="s">
        <v>95</v>
      </c>
      <c r="J60" s="421"/>
      <c r="K60" s="421"/>
      <c r="L60" s="421"/>
      <c r="M60" s="421"/>
      <c r="N60" s="422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419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9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I22:J22"/>
    <mergeCell ref="I23:J23"/>
    <mergeCell ref="I24:J24"/>
    <mergeCell ref="AE24:AF24"/>
    <mergeCell ref="I25:J25"/>
    <mergeCell ref="O25:P25"/>
    <mergeCell ref="AK36:AL36"/>
    <mergeCell ref="AM36:AN36"/>
    <mergeCell ref="O27:P27"/>
    <mergeCell ref="C28:D28"/>
    <mergeCell ref="O28:P28"/>
    <mergeCell ref="C29:G29"/>
    <mergeCell ref="C30:E30"/>
    <mergeCell ref="C31:E31"/>
    <mergeCell ref="V40:W40"/>
    <mergeCell ref="AA40:AB40"/>
    <mergeCell ref="X31:Y31"/>
    <mergeCell ref="C32:E32"/>
    <mergeCell ref="X32:Y32"/>
    <mergeCell ref="C33:E33"/>
    <mergeCell ref="X37:Y37"/>
    <mergeCell ref="AE38:AF38"/>
    <mergeCell ref="AG38:AH38"/>
    <mergeCell ref="AI38:AJ38"/>
    <mergeCell ref="AC39:AD39"/>
    <mergeCell ref="Z50:AA50"/>
    <mergeCell ref="B59:H59"/>
    <mergeCell ref="I59:N59"/>
    <mergeCell ref="B60:H61"/>
    <mergeCell ref="I60:N61"/>
    <mergeCell ref="AA61:AB61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5" priority="3" stopIfTrue="1" operator="equal">
      <formula>""""""</formula>
    </cfRule>
  </conditionalFormatting>
  <conditionalFormatting sqref="K18:M18 K23:K25 L25:M25">
    <cfRule type="cellIs" dxfId="4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3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0"/>
  <sheetViews>
    <sheetView topLeftCell="A13" workbookViewId="0">
      <selection activeCell="R30" sqref="O29:R30"/>
    </sheetView>
  </sheetViews>
  <sheetFormatPr baseColWidth="10" defaultColWidth="11.42578125" defaultRowHeight="12.75" x14ac:dyDescent="0.2"/>
  <cols>
    <col min="1" max="1" width="4" style="1" customWidth="1"/>
    <col min="2" max="2" width="1.7109375" style="1" customWidth="1"/>
    <col min="3" max="3" width="9" style="1" customWidth="1"/>
    <col min="4" max="4" width="7.85546875" style="1" customWidth="1"/>
    <col min="5" max="5" width="10" style="1" customWidth="1"/>
    <col min="6" max="7" width="9.42578125" style="1" customWidth="1"/>
    <col min="8" max="8" width="1.85546875" style="1" customWidth="1"/>
    <col min="9" max="9" width="11" style="1" customWidth="1"/>
    <col min="10" max="10" width="20.140625" style="1" customWidth="1"/>
    <col min="11" max="11" width="10" style="1" customWidth="1"/>
    <col min="12" max="12" width="9.42578125" style="1" customWidth="1"/>
    <col min="13" max="13" width="11.42578125" style="1" customWidth="1"/>
    <col min="14" max="14" width="1.28515625" style="1" customWidth="1"/>
    <col min="15" max="15" width="9" style="1" customWidth="1"/>
    <col min="16" max="17" width="8.7109375" style="1" customWidth="1"/>
    <col min="18" max="18" width="7.5703125" style="1" customWidth="1"/>
    <col min="19" max="19" width="8.5703125" style="1" customWidth="1"/>
    <col min="20" max="20" width="7.140625" style="1" customWidth="1"/>
    <col min="21" max="21" width="4.28515625" style="1" customWidth="1"/>
    <col min="22" max="22" width="7.5703125" style="1" customWidth="1"/>
    <col min="23" max="23" width="8.85546875" style="1" customWidth="1"/>
    <col min="24" max="24" width="7.140625" style="1" customWidth="1"/>
    <col min="25" max="25" width="9.28515625" style="1" customWidth="1"/>
    <col min="26" max="32" width="11.42578125" style="1"/>
    <col min="33" max="33" width="15.28515625" style="1" bestFit="1" customWidth="1"/>
    <col min="34" max="16384" width="11.42578125" style="1"/>
  </cols>
  <sheetData>
    <row r="1" spans="1:58" ht="12" customHeight="1" thickBot="1" x14ac:dyDescent="0.25">
      <c r="L1" s="2" t="s">
        <v>0</v>
      </c>
    </row>
    <row r="2" spans="1:58" ht="12" customHeight="1" thickTop="1" x14ac:dyDescent="0.2">
      <c r="B2" s="486"/>
      <c r="C2" s="487"/>
      <c r="D2" s="487"/>
      <c r="E2" s="488"/>
      <c r="F2" s="495" t="s">
        <v>1</v>
      </c>
      <c r="G2" s="496"/>
      <c r="H2" s="496"/>
      <c r="I2" s="496"/>
      <c r="J2" s="499"/>
      <c r="K2" s="159" t="s">
        <v>2</v>
      </c>
      <c r="L2" s="510">
        <v>43891</v>
      </c>
      <c r="M2" s="511"/>
      <c r="N2" s="512"/>
      <c r="O2" s="2"/>
      <c r="P2" s="2"/>
      <c r="Q2" s="2"/>
      <c r="R2" s="2"/>
      <c r="S2" s="2"/>
      <c r="T2" s="2"/>
      <c r="U2" s="2"/>
    </row>
    <row r="3" spans="1:58" ht="12" customHeight="1" x14ac:dyDescent="0.2">
      <c r="B3" s="489"/>
      <c r="C3" s="490"/>
      <c r="D3" s="490"/>
      <c r="E3" s="491"/>
      <c r="F3" s="497"/>
      <c r="G3" s="498"/>
      <c r="H3" s="498"/>
      <c r="I3" s="498"/>
      <c r="J3" s="500"/>
      <c r="K3" s="160" t="s">
        <v>3</v>
      </c>
      <c r="L3" s="513">
        <v>3</v>
      </c>
      <c r="M3" s="514"/>
      <c r="N3" s="515"/>
      <c r="O3" s="2"/>
      <c r="P3" s="2"/>
      <c r="Q3" s="2"/>
      <c r="R3" s="2"/>
      <c r="S3" s="2"/>
      <c r="T3" s="2"/>
      <c r="U3" s="2"/>
    </row>
    <row r="4" spans="1:58" s="3" customFormat="1" ht="13.5" customHeight="1" x14ac:dyDescent="0.3">
      <c r="B4" s="492"/>
      <c r="C4" s="493"/>
      <c r="D4" s="493"/>
      <c r="E4" s="494"/>
      <c r="F4" s="503" t="s">
        <v>4</v>
      </c>
      <c r="G4" s="504"/>
      <c r="H4" s="504"/>
      <c r="I4" s="504"/>
      <c r="J4" s="505"/>
      <c r="K4" s="516" t="s">
        <v>5</v>
      </c>
      <c r="L4" s="517"/>
      <c r="M4" s="507">
        <v>2</v>
      </c>
      <c r="N4" s="508"/>
      <c r="O4" s="509" t="s">
        <v>6</v>
      </c>
      <c r="P4" s="465" t="s">
        <v>7</v>
      </c>
      <c r="Q4" s="376">
        <v>40702</v>
      </c>
      <c r="R4" s="377"/>
      <c r="S4" s="377"/>
      <c r="T4" s="4"/>
      <c r="U4" s="4"/>
      <c r="V4" s="5"/>
    </row>
    <row r="5" spans="1:58" ht="13.5" customHeight="1" x14ac:dyDescent="0.3">
      <c r="B5" s="483" t="s">
        <v>8</v>
      </c>
      <c r="C5" s="462"/>
      <c r="D5" s="484"/>
      <c r="E5" s="461" t="s">
        <v>130</v>
      </c>
      <c r="F5" s="462"/>
      <c r="G5" s="462"/>
      <c r="H5" s="462"/>
      <c r="I5" s="462"/>
      <c r="J5" s="484"/>
      <c r="K5" s="175"/>
      <c r="L5" s="175"/>
      <c r="M5" s="462"/>
      <c r="N5" s="463"/>
      <c r="O5" s="509" t="s">
        <v>9</v>
      </c>
      <c r="P5" s="465"/>
      <c r="Q5" s="6">
        <v>1</v>
      </c>
      <c r="R5" s="7">
        <f>F34</f>
        <v>0</v>
      </c>
      <c r="S5" s="7">
        <f>C35</f>
        <v>0</v>
      </c>
      <c r="T5" s="7"/>
      <c r="U5" s="7"/>
      <c r="V5" s="8"/>
      <c r="AB5" s="3"/>
      <c r="AC5" s="3"/>
    </row>
    <row r="6" spans="1:58" ht="13.5" customHeight="1" x14ac:dyDescent="0.3">
      <c r="B6" s="9" t="s">
        <v>10</v>
      </c>
      <c r="C6" s="10"/>
      <c r="D6" s="10"/>
      <c r="E6" s="461" t="s">
        <v>96</v>
      </c>
      <c r="F6" s="462"/>
      <c r="G6" s="462"/>
      <c r="H6" s="462"/>
      <c r="I6" s="462"/>
      <c r="J6" s="462"/>
      <c r="K6" s="462"/>
      <c r="L6" s="462"/>
      <c r="M6" s="462"/>
      <c r="N6" s="463"/>
      <c r="O6" s="509" t="s">
        <v>11</v>
      </c>
      <c r="P6" s="465" t="s">
        <v>7</v>
      </c>
      <c r="Q6" s="158">
        <v>0</v>
      </c>
      <c r="R6" s="7"/>
      <c r="S6" s="7"/>
      <c r="T6" s="7"/>
      <c r="U6" s="7"/>
      <c r="V6" s="8"/>
      <c r="AB6" s="11"/>
      <c r="AC6" s="3"/>
      <c r="AD6" s="152"/>
      <c r="AE6" s="152"/>
      <c r="AF6" s="152"/>
      <c r="AG6" s="152"/>
      <c r="AH6" s="152"/>
    </row>
    <row r="7" spans="1:58" ht="13.5" customHeight="1" x14ac:dyDescent="0.3">
      <c r="B7" s="466" t="s">
        <v>12</v>
      </c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8"/>
      <c r="O7" s="12"/>
      <c r="P7" s="13"/>
      <c r="Q7" s="6"/>
      <c r="R7" s="7"/>
      <c r="S7" s="7"/>
      <c r="T7" s="7"/>
      <c r="U7" s="7"/>
      <c r="V7" s="8"/>
      <c r="AB7" s="3"/>
      <c r="AC7" s="3"/>
      <c r="AD7" s="152"/>
      <c r="AE7" s="152"/>
      <c r="AF7" s="152"/>
      <c r="AG7" s="152"/>
      <c r="AH7" s="152"/>
    </row>
    <row r="8" spans="1:58" ht="15" customHeight="1" thickBot="1" x14ac:dyDescent="0.35">
      <c r="B8" s="469"/>
      <c r="C8" s="470"/>
      <c r="D8" s="470"/>
      <c r="E8" s="470"/>
      <c r="F8" s="470"/>
      <c r="G8" s="470"/>
      <c r="H8" s="470"/>
      <c r="I8" s="470"/>
      <c r="J8" s="470"/>
      <c r="K8" s="470"/>
      <c r="L8" s="470"/>
      <c r="M8" s="470"/>
      <c r="N8" s="471"/>
      <c r="O8" s="14" t="s">
        <v>14</v>
      </c>
      <c r="P8" s="15" t="s">
        <v>15</v>
      </c>
      <c r="Q8" s="16" t="s">
        <v>16</v>
      </c>
      <c r="R8" s="16" t="s">
        <v>17</v>
      </c>
      <c r="S8" s="7"/>
      <c r="T8" s="7"/>
      <c r="U8" s="7"/>
      <c r="V8" s="8"/>
      <c r="AB8" s="3"/>
      <c r="AC8" s="3"/>
      <c r="AD8" s="152"/>
      <c r="AE8" s="129"/>
      <c r="AF8" s="153"/>
      <c r="AG8" s="152"/>
      <c r="AH8" s="152"/>
    </row>
    <row r="9" spans="1:58" ht="3.75" customHeight="1" x14ac:dyDescent="0.3">
      <c r="B9" s="17"/>
      <c r="C9" s="18"/>
      <c r="D9" s="19"/>
      <c r="E9" s="20"/>
      <c r="F9" s="19"/>
      <c r="G9" s="19"/>
      <c r="H9" s="19"/>
      <c r="I9" s="19"/>
      <c r="J9" s="19"/>
      <c r="K9" s="19"/>
      <c r="L9" s="19"/>
      <c r="M9" s="19"/>
      <c r="N9" s="21"/>
      <c r="O9" s="7"/>
      <c r="P9" s="22"/>
      <c r="Q9" s="22"/>
      <c r="R9" s="22"/>
      <c r="S9" s="22"/>
      <c r="T9" s="7"/>
      <c r="U9" s="7"/>
      <c r="V9" s="8"/>
      <c r="AB9" s="3"/>
      <c r="AC9" s="3"/>
      <c r="AD9" s="152"/>
      <c r="AE9" s="152"/>
      <c r="AF9" s="152"/>
      <c r="AG9" s="152"/>
      <c r="AH9" s="152"/>
    </row>
    <row r="10" spans="1:58" s="23" customFormat="1" ht="15" customHeight="1" thickBot="1" x14ac:dyDescent="0.35">
      <c r="B10" s="24"/>
      <c r="C10" s="25" t="s">
        <v>18</v>
      </c>
      <c r="D10" s="26" t="s">
        <v>19</v>
      </c>
      <c r="E10" s="27">
        <f>Q6</f>
        <v>0</v>
      </c>
      <c r="F10" s="28" t="s">
        <v>20</v>
      </c>
      <c r="G10" s="27">
        <f>IF(Q24="a",Q23,SUM(Q10:Q23))</f>
        <v>130.30000000000001</v>
      </c>
      <c r="H10" s="29"/>
      <c r="I10" s="518" t="s">
        <v>21</v>
      </c>
      <c r="J10" s="519"/>
      <c r="K10" s="519"/>
      <c r="L10" s="519"/>
      <c r="M10" s="520"/>
      <c r="N10" s="30"/>
      <c r="O10" s="31">
        <v>76.2</v>
      </c>
      <c r="P10" s="32" t="e">
        <f>IF(X10=0," ",X10)</f>
        <v>#DIV/0!</v>
      </c>
      <c r="Q10" s="154">
        <v>0</v>
      </c>
      <c r="R10" s="33" t="s">
        <v>22</v>
      </c>
      <c r="S10" s="34" t="s">
        <v>23</v>
      </c>
      <c r="T10" s="32" t="e">
        <f>X23-35</f>
        <v>#DIV/0!</v>
      </c>
      <c r="U10" s="35"/>
      <c r="V10" s="36">
        <f>IF($Q$24="I",V9+Q10,Q10)</f>
        <v>0</v>
      </c>
      <c r="W10" s="37">
        <f>Q10</f>
        <v>0</v>
      </c>
      <c r="X10" s="37" t="e">
        <f>ROUND(G13,0)</f>
        <v>#DIV/0!</v>
      </c>
      <c r="Y10" s="1"/>
      <c r="Z10" s="1"/>
      <c r="AA10" s="1"/>
      <c r="AB10" s="38"/>
      <c r="AC10" s="3"/>
      <c r="AD10" s="152"/>
      <c r="AE10" s="152"/>
      <c r="AF10" s="152"/>
      <c r="AG10" s="152"/>
      <c r="AH10" s="152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s="23" customFormat="1" ht="13.5" customHeight="1" thickBot="1" x14ac:dyDescent="0.35">
      <c r="B11" s="24"/>
      <c r="C11" s="475" t="s">
        <v>24</v>
      </c>
      <c r="D11" s="476"/>
      <c r="E11" s="477" t="s">
        <v>25</v>
      </c>
      <c r="F11" s="479" t="s">
        <v>26</v>
      </c>
      <c r="G11" s="479" t="s">
        <v>27</v>
      </c>
      <c r="H11" s="29"/>
      <c r="I11" s="521" t="s">
        <v>28</v>
      </c>
      <c r="J11" s="522"/>
      <c r="K11" s="525">
        <v>1</v>
      </c>
      <c r="L11" s="525">
        <v>2</v>
      </c>
      <c r="M11" s="529">
        <v>3</v>
      </c>
      <c r="N11" s="30"/>
      <c r="O11" s="31">
        <v>63.5</v>
      </c>
      <c r="P11" s="32" t="e">
        <f t="shared" ref="P11:P23" si="0">IF(X11=0," ",X11)</f>
        <v>#DIV/0!</v>
      </c>
      <c r="Q11" s="154">
        <v>0</v>
      </c>
      <c r="R11" s="33" t="s">
        <v>29</v>
      </c>
      <c r="S11" s="34" t="s">
        <v>23</v>
      </c>
      <c r="T11" s="32" t="e">
        <f>X23-15</f>
        <v>#DIV/0!</v>
      </c>
      <c r="U11" s="35"/>
      <c r="V11" s="36">
        <f>IF($Q$24="I",V10+Q11,Q11)</f>
        <v>0</v>
      </c>
      <c r="W11" s="37" t="e">
        <f>IF(AND(V11=0,X10=100),0,IF(V11=V10,((V12-V10)*(O10-O11)/(O10-O12)+V10),V11))</f>
        <v>#DIV/0!</v>
      </c>
      <c r="X11" s="37" t="e">
        <f t="shared" ref="X11:X19" si="1">ROUND(G14,0)</f>
        <v>#DIV/0!</v>
      </c>
      <c r="Y11" s="1"/>
      <c r="Z11" s="1"/>
      <c r="AA11" s="1"/>
      <c r="AB11" s="38"/>
      <c r="AC11" s="3"/>
      <c r="AD11" s="152"/>
      <c r="AE11" s="152"/>
      <c r="AF11" s="152"/>
      <c r="AG11" s="152"/>
      <c r="AH11" s="152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13.5" customHeight="1" thickBot="1" x14ac:dyDescent="0.35">
      <c r="B12" s="39"/>
      <c r="C12" s="40" t="s">
        <v>30</v>
      </c>
      <c r="D12" s="41" t="s">
        <v>31</v>
      </c>
      <c r="E12" s="478"/>
      <c r="F12" s="480"/>
      <c r="G12" s="480"/>
      <c r="H12" s="42"/>
      <c r="I12" s="523"/>
      <c r="J12" s="524"/>
      <c r="K12" s="526"/>
      <c r="L12" s="526"/>
      <c r="M12" s="530"/>
      <c r="N12" s="43"/>
      <c r="O12" s="31">
        <v>50.8</v>
      </c>
      <c r="P12" s="32" t="e">
        <f t="shared" si="0"/>
        <v>#DIV/0!</v>
      </c>
      <c r="Q12" s="155">
        <v>0</v>
      </c>
      <c r="R12" s="33" t="s">
        <v>32</v>
      </c>
      <c r="S12" s="34" t="s">
        <v>33</v>
      </c>
      <c r="T12" s="32">
        <f>Q27-40</f>
        <v>12.194696090939701</v>
      </c>
      <c r="U12" s="35"/>
      <c r="V12" s="36">
        <f>IF($Q$24="I",V11+Q12,Q12)</f>
        <v>0</v>
      </c>
      <c r="W12" s="37" t="e">
        <f>IF(AND(V12=0,X11=100),0,IF(V12=V11,((V13-V11)*(O11-O12)/(O11-O13)+V11),V12))</f>
        <v>#DIV/0!</v>
      </c>
      <c r="X12" s="37" t="e">
        <f t="shared" si="1"/>
        <v>#DIV/0!</v>
      </c>
      <c r="Z12" s="44"/>
      <c r="AA12" s="45"/>
      <c r="AB12" s="38"/>
      <c r="AC12" s="3"/>
      <c r="AD12" s="152"/>
      <c r="AE12" s="151"/>
      <c r="AF12" s="152"/>
      <c r="AG12" s="152"/>
      <c r="AH12" s="152"/>
    </row>
    <row r="13" spans="1:58" s="23" customFormat="1" ht="15" customHeight="1" thickTop="1" x14ac:dyDescent="0.3">
      <c r="A13" s="2" t="s">
        <v>34</v>
      </c>
      <c r="B13" s="47"/>
      <c r="C13" s="48" t="s">
        <v>22</v>
      </c>
      <c r="D13" s="49">
        <f t="shared" ref="D13:D25" si="2">O10</f>
        <v>76.2</v>
      </c>
      <c r="E13" s="50">
        <f>W10</f>
        <v>0</v>
      </c>
      <c r="F13" s="51" t="e">
        <f t="shared" ref="F13:F26" si="3">(100/$E$10)*E13</f>
        <v>#DIV/0!</v>
      </c>
      <c r="G13" s="52" t="e">
        <f>100-F13</f>
        <v>#DIV/0!</v>
      </c>
      <c r="H13" s="53"/>
      <c r="I13" s="531" t="s">
        <v>35</v>
      </c>
      <c r="J13" s="532"/>
      <c r="K13" s="54"/>
      <c r="L13" s="54"/>
      <c r="M13" s="55"/>
      <c r="N13" s="56"/>
      <c r="O13" s="31">
        <v>38.1</v>
      </c>
      <c r="P13" s="32" t="e">
        <f t="shared" si="0"/>
        <v>#DIV/0!</v>
      </c>
      <c r="Q13" s="154">
        <v>0</v>
      </c>
      <c r="R13" s="33" t="s">
        <v>36</v>
      </c>
      <c r="S13" s="34" t="s">
        <v>37</v>
      </c>
      <c r="T13" s="32" t="e">
        <f>F32-10</f>
        <v>#DIV/0!</v>
      </c>
      <c r="U13" s="35"/>
      <c r="V13" s="36">
        <f>IF($Q$24="I",V12+Q13,Q13)</f>
        <v>0</v>
      </c>
      <c r="W13" s="37" t="e">
        <f>IF(AND(V13=0,X12=100),0,IF(V13=V12,((V14-V12)*(O12-O13)/(O12-O14)+V12),V13))</f>
        <v>#DIV/0!</v>
      </c>
      <c r="X13" s="37" t="e">
        <f t="shared" si="1"/>
        <v>#DIV/0!</v>
      </c>
      <c r="Y13" s="1"/>
      <c r="Z13" s="44"/>
      <c r="AA13" s="57"/>
      <c r="AB13" s="38"/>
      <c r="AC13" s="3"/>
      <c r="AD13" s="131"/>
      <c r="AE13" s="136"/>
      <c r="AF13" s="131"/>
      <c r="AG13" s="131"/>
      <c r="AH13" s="131"/>
      <c r="AI13" s="1"/>
      <c r="AJ13" s="60"/>
      <c r="AK13" s="58"/>
      <c r="AL13" s="58"/>
      <c r="AM13" s="58"/>
      <c r="AN13" s="58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s="23" customFormat="1" ht="15" customHeight="1" x14ac:dyDescent="0.3">
      <c r="A14" s="2" t="s">
        <v>38</v>
      </c>
      <c r="B14" s="47"/>
      <c r="C14" s="61" t="s">
        <v>29</v>
      </c>
      <c r="D14" s="49">
        <f t="shared" si="2"/>
        <v>63.5</v>
      </c>
      <c r="E14" s="62" t="e">
        <f>W11-W10</f>
        <v>#DIV/0!</v>
      </c>
      <c r="F14" s="63" t="e">
        <f>(100/$E$10)*E14</f>
        <v>#DIV/0!</v>
      </c>
      <c r="G14" s="64" t="e">
        <f>G13-F14</f>
        <v>#DIV/0!</v>
      </c>
      <c r="H14" s="53"/>
      <c r="I14" s="527" t="s">
        <v>39</v>
      </c>
      <c r="J14" s="528"/>
      <c r="K14" s="161">
        <v>15</v>
      </c>
      <c r="L14" s="161">
        <v>26</v>
      </c>
      <c r="M14" s="162">
        <v>36</v>
      </c>
      <c r="N14" s="56"/>
      <c r="O14" s="31">
        <v>25.4</v>
      </c>
      <c r="P14" s="32" t="e">
        <f t="shared" si="0"/>
        <v>#DIV/0!</v>
      </c>
      <c r="Q14" s="154">
        <v>0</v>
      </c>
      <c r="R14" s="33">
        <v>1</v>
      </c>
      <c r="S14" s="34" t="s">
        <v>40</v>
      </c>
      <c r="T14" s="65">
        <f>Q27-30</f>
        <v>22.194696090939701</v>
      </c>
      <c r="U14" s="65"/>
      <c r="V14" s="36">
        <f t="shared" ref="V14:V22" si="4">IF($Q$24="I",V13+Q14,Q14)</f>
        <v>0</v>
      </c>
      <c r="W14" s="37" t="e">
        <f t="shared" ref="W14:W23" si="5">IF(AND(V14=0,X13=100),0,IF(V14=V13,((V15-V13)*(O13-O14)/(O13-O15)+V13),V14))</f>
        <v>#DIV/0!</v>
      </c>
      <c r="X14" s="37" t="e">
        <f>ROUND(G17,0)</f>
        <v>#DIV/0!</v>
      </c>
      <c r="Y14" s="1"/>
      <c r="Z14" s="44"/>
      <c r="AA14" s="57"/>
      <c r="AB14" s="38"/>
      <c r="AC14" s="3"/>
      <c r="AD14" s="131"/>
      <c r="AE14" s="136"/>
      <c r="AF14" s="131"/>
      <c r="AG14" s="131"/>
      <c r="AH14" s="131"/>
      <c r="AI14" s="1"/>
      <c r="AJ14" s="60"/>
      <c r="AK14" s="58"/>
      <c r="AL14" s="58"/>
      <c r="AM14" s="58"/>
      <c r="AN14" s="58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s="23" customFormat="1" ht="15" customHeight="1" x14ac:dyDescent="0.3">
      <c r="A15" s="2"/>
      <c r="B15" s="47"/>
      <c r="C15" s="61" t="s">
        <v>32</v>
      </c>
      <c r="D15" s="49">
        <f t="shared" si="2"/>
        <v>50.8</v>
      </c>
      <c r="E15" s="62">
        <f t="shared" ref="E15:E26" si="6">Q12</f>
        <v>0</v>
      </c>
      <c r="F15" s="63" t="e">
        <f t="shared" si="3"/>
        <v>#DIV/0!</v>
      </c>
      <c r="G15" s="64" t="e">
        <f t="shared" ref="G15:G26" si="7">G14-F15</f>
        <v>#DIV/0!</v>
      </c>
      <c r="H15" s="53"/>
      <c r="I15" s="533" t="s">
        <v>41</v>
      </c>
      <c r="J15" s="534"/>
      <c r="K15" s="163">
        <v>57.5</v>
      </c>
      <c r="L15" s="161">
        <v>30.2</v>
      </c>
      <c r="M15" s="164">
        <v>54.1</v>
      </c>
      <c r="N15" s="56"/>
      <c r="O15" s="31">
        <v>19.05</v>
      </c>
      <c r="P15" s="32" t="e">
        <f t="shared" si="0"/>
        <v>#DIV/0!</v>
      </c>
      <c r="Q15" s="154">
        <v>0</v>
      </c>
      <c r="R15" s="33" t="s">
        <v>42</v>
      </c>
      <c r="S15" s="34" t="s">
        <v>43</v>
      </c>
      <c r="T15" s="66" t="e">
        <f>IF(X18=0,0,100-X18)</f>
        <v>#DIV/0!</v>
      </c>
      <c r="U15" s="66"/>
      <c r="V15" s="36">
        <f t="shared" si="4"/>
        <v>0</v>
      </c>
      <c r="W15" s="37" t="e">
        <f t="shared" si="5"/>
        <v>#DIV/0!</v>
      </c>
      <c r="X15" s="37" t="e">
        <f t="shared" si="1"/>
        <v>#DIV/0!</v>
      </c>
      <c r="Y15" s="1"/>
      <c r="Z15" s="44"/>
      <c r="AA15" s="57"/>
      <c r="AB15" s="38"/>
      <c r="AC15" s="3"/>
      <c r="AD15" s="58"/>
      <c r="AE15" s="59"/>
      <c r="AF15" s="60"/>
      <c r="AG15" s="60"/>
      <c r="AH15" s="60"/>
      <c r="AI15" s="1"/>
      <c r="AJ15" s="60"/>
      <c r="AK15" s="58"/>
      <c r="AL15" s="58"/>
      <c r="AM15" s="58"/>
      <c r="AN15" s="58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s="23" customFormat="1" ht="15" customHeight="1" x14ac:dyDescent="0.3">
      <c r="A16" s="2" t="s">
        <v>44</v>
      </c>
      <c r="B16" s="47"/>
      <c r="C16" s="61" t="s">
        <v>36</v>
      </c>
      <c r="D16" s="49">
        <f t="shared" si="2"/>
        <v>38.1</v>
      </c>
      <c r="E16" s="62">
        <f t="shared" si="6"/>
        <v>0</v>
      </c>
      <c r="F16" s="63" t="e">
        <f t="shared" si="3"/>
        <v>#DIV/0!</v>
      </c>
      <c r="G16" s="64" t="e">
        <f t="shared" si="7"/>
        <v>#DIV/0!</v>
      </c>
      <c r="H16" s="53"/>
      <c r="I16" s="533" t="s">
        <v>45</v>
      </c>
      <c r="J16" s="534"/>
      <c r="K16" s="161">
        <v>44.8</v>
      </c>
      <c r="L16" s="161">
        <v>23.3</v>
      </c>
      <c r="M16" s="162">
        <v>43.5</v>
      </c>
      <c r="N16" s="56"/>
      <c r="O16" s="31">
        <v>12.7</v>
      </c>
      <c r="P16" s="32" t="e">
        <f t="shared" si="0"/>
        <v>#DIV/0!</v>
      </c>
      <c r="Q16" s="154">
        <v>0</v>
      </c>
      <c r="R16" s="33" t="s">
        <v>46</v>
      </c>
      <c r="S16" s="34" t="s">
        <v>47</v>
      </c>
      <c r="T16" s="66" t="e">
        <f>IF(X18=0,100-X23,X18-X23)</f>
        <v>#DIV/0!</v>
      </c>
      <c r="U16" s="66"/>
      <c r="V16" s="36">
        <f>IF($Q$24="I",V15+Q16,Q16)</f>
        <v>0</v>
      </c>
      <c r="W16" s="37" t="e">
        <f t="shared" si="5"/>
        <v>#DIV/0!</v>
      </c>
      <c r="X16" s="37" t="e">
        <f>ROUND(G19,0)</f>
        <v>#DIV/0!</v>
      </c>
      <c r="Y16" s="1"/>
      <c r="Z16" s="44"/>
      <c r="AA16" s="57"/>
      <c r="AB16" s="38"/>
      <c r="AC16" s="3"/>
      <c r="AD16" s="58"/>
      <c r="AE16" s="59"/>
      <c r="AF16" s="60"/>
      <c r="AG16" s="60"/>
      <c r="AH16" s="60"/>
      <c r="AI16" s="1"/>
      <c r="AJ16" s="60"/>
      <c r="AK16" s="58"/>
      <c r="AL16" s="58"/>
      <c r="AM16" s="58"/>
      <c r="AN16" s="58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s="23" customFormat="1" ht="15" customHeight="1" x14ac:dyDescent="0.3">
      <c r="A17" s="2" t="s">
        <v>48</v>
      </c>
      <c r="B17" s="47"/>
      <c r="C17" s="61" t="s">
        <v>49</v>
      </c>
      <c r="D17" s="49">
        <f t="shared" si="2"/>
        <v>25.4</v>
      </c>
      <c r="E17" s="62">
        <f t="shared" si="6"/>
        <v>0</v>
      </c>
      <c r="F17" s="63" t="e">
        <f t="shared" si="3"/>
        <v>#DIV/0!</v>
      </c>
      <c r="G17" s="64" t="e">
        <f t="shared" si="7"/>
        <v>#DIV/0!</v>
      </c>
      <c r="H17" s="53"/>
      <c r="I17" s="533" t="s">
        <v>50</v>
      </c>
      <c r="J17" s="534"/>
      <c r="K17" s="161">
        <v>21</v>
      </c>
      <c r="L17" s="163">
        <v>10.1</v>
      </c>
      <c r="M17" s="164">
        <v>22.8</v>
      </c>
      <c r="N17" s="56"/>
      <c r="O17" s="31">
        <v>9.52</v>
      </c>
      <c r="P17" s="32" t="e">
        <f t="shared" si="0"/>
        <v>#DIV/0!</v>
      </c>
      <c r="Q17" s="154">
        <v>0</v>
      </c>
      <c r="R17" s="33" t="s">
        <v>51</v>
      </c>
      <c r="S17" s="34" t="s">
        <v>52</v>
      </c>
      <c r="T17" s="66">
        <f>(R27-20)*0.73</f>
        <v>23.36</v>
      </c>
      <c r="U17" s="66"/>
      <c r="V17" s="36">
        <f>IF($Q$24="I",V16+Q17,Q17)</f>
        <v>0</v>
      </c>
      <c r="W17" s="37" t="e">
        <f>IF(AND(V17=0,X16=100),0,IF(V17=V16,((V18-V16)*(O16-O17)/(O16-O18)+V16),V17))</f>
        <v>#DIV/0!</v>
      </c>
      <c r="X17" s="37" t="e">
        <f t="shared" si="1"/>
        <v>#DIV/0!</v>
      </c>
      <c r="Y17" s="1"/>
      <c r="Z17" s="44"/>
      <c r="AA17" s="57"/>
      <c r="AB17" s="38"/>
      <c r="AC17" s="3"/>
      <c r="AD17" s="58"/>
      <c r="AE17" s="59"/>
      <c r="AF17" s="60"/>
      <c r="AG17" s="60"/>
      <c r="AH17" s="60"/>
      <c r="AI17" s="1"/>
      <c r="AJ17" s="60"/>
      <c r="AK17" s="58"/>
      <c r="AL17" s="58"/>
      <c r="AM17" s="58"/>
      <c r="AN17" s="58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s="23" customFormat="1" ht="15" customHeight="1" thickBot="1" x14ac:dyDescent="0.35">
      <c r="A18" s="2" t="s">
        <v>53</v>
      </c>
      <c r="B18" s="47"/>
      <c r="C18" s="61" t="s">
        <v>42</v>
      </c>
      <c r="D18" s="49">
        <f t="shared" si="2"/>
        <v>19.05</v>
      </c>
      <c r="E18" s="62">
        <f t="shared" si="6"/>
        <v>0</v>
      </c>
      <c r="F18" s="63" t="e">
        <f t="shared" si="3"/>
        <v>#DIV/0!</v>
      </c>
      <c r="G18" s="64" t="e">
        <f t="shared" si="7"/>
        <v>#DIV/0!</v>
      </c>
      <c r="H18" s="53"/>
      <c r="I18" s="535" t="s">
        <v>54</v>
      </c>
      <c r="J18" s="536"/>
      <c r="K18" s="165">
        <f>(K15-K16)*100/(K16-K17)</f>
        <v>53.361344537815143</v>
      </c>
      <c r="L18" s="165">
        <f>(L15-L16)*100/(L16-L17)</f>
        <v>52.272727272727259</v>
      </c>
      <c r="M18" s="166">
        <f>(M15-M16)*100/(M16-M17)</f>
        <v>51.207729468599048</v>
      </c>
      <c r="N18" s="56"/>
      <c r="O18" s="31">
        <v>4.76</v>
      </c>
      <c r="P18" s="32" t="e">
        <f t="shared" si="0"/>
        <v>#DIV/0!</v>
      </c>
      <c r="Q18" s="154">
        <v>0</v>
      </c>
      <c r="R18" s="33" t="s">
        <v>55</v>
      </c>
      <c r="S18" s="22"/>
      <c r="T18" s="22"/>
      <c r="U18" s="22"/>
      <c r="V18" s="36">
        <f>IF($Q$24="I",V17+Q18,Q18)</f>
        <v>0</v>
      </c>
      <c r="W18" s="37" t="e">
        <f t="shared" si="5"/>
        <v>#DIV/0!</v>
      </c>
      <c r="X18" s="37" t="e">
        <f t="shared" si="1"/>
        <v>#DIV/0!</v>
      </c>
      <c r="Y18" s="1"/>
      <c r="Z18" s="44"/>
      <c r="AA18" s="57"/>
      <c r="AB18" s="38"/>
      <c r="AC18" s="3"/>
      <c r="AD18" s="58"/>
      <c r="AE18" s="59"/>
      <c r="AF18" s="60"/>
      <c r="AG18" s="60"/>
      <c r="AH18" s="60"/>
      <c r="AI18" s="1"/>
      <c r="AJ18" s="60"/>
      <c r="AK18" s="58"/>
      <c r="AL18" s="58"/>
      <c r="AM18" s="58"/>
      <c r="AN18" s="58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s="23" customFormat="1" ht="15" customHeight="1" thickBot="1" x14ac:dyDescent="0.35">
      <c r="A19" s="2"/>
      <c r="B19" s="47"/>
      <c r="C19" s="61" t="s">
        <v>46</v>
      </c>
      <c r="D19" s="49">
        <f t="shared" si="2"/>
        <v>12.7</v>
      </c>
      <c r="E19" s="62">
        <f t="shared" si="6"/>
        <v>0</v>
      </c>
      <c r="F19" s="63" t="e">
        <f t="shared" si="3"/>
        <v>#DIV/0!</v>
      </c>
      <c r="G19" s="64" t="e">
        <f t="shared" si="7"/>
        <v>#DIV/0!</v>
      </c>
      <c r="H19" s="53"/>
      <c r="I19" s="455" t="s">
        <v>56</v>
      </c>
      <c r="J19" s="456"/>
      <c r="K19" s="456"/>
      <c r="L19" s="537"/>
      <c r="M19" s="457" t="s">
        <v>57</v>
      </c>
      <c r="N19" s="56"/>
      <c r="O19" s="67">
        <v>2</v>
      </c>
      <c r="P19" s="32" t="e">
        <f t="shared" si="0"/>
        <v>#DIV/0!</v>
      </c>
      <c r="Q19" s="154">
        <v>0</v>
      </c>
      <c r="R19" s="33" t="s">
        <v>58</v>
      </c>
      <c r="S19" s="68" t="s">
        <v>59</v>
      </c>
      <c r="T19" s="32" t="e">
        <f>IF(AND(T10&gt;1,T10&lt;=40),T10,0)</f>
        <v>#DIV/0!</v>
      </c>
      <c r="U19" s="35"/>
      <c r="V19" s="36">
        <f t="shared" si="4"/>
        <v>0</v>
      </c>
      <c r="W19" s="37" t="e">
        <f t="shared" si="5"/>
        <v>#DIV/0!</v>
      </c>
      <c r="X19" s="37" t="e">
        <f t="shared" si="1"/>
        <v>#DIV/0!</v>
      </c>
      <c r="Y19" s="1"/>
      <c r="Z19" s="44"/>
      <c r="AA19" s="57"/>
      <c r="AB19" s="38"/>
      <c r="AC19" s="3"/>
      <c r="AD19" s="58"/>
      <c r="AE19" s="59"/>
      <c r="AF19" s="60"/>
      <c r="AG19" s="60"/>
      <c r="AH19" s="60"/>
      <c r="AI19" s="1"/>
      <c r="AJ19" s="60"/>
      <c r="AK19" s="58"/>
      <c r="AL19" s="58"/>
      <c r="AM19" s="58"/>
      <c r="AN19" s="58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s="23" customFormat="1" ht="15" customHeight="1" thickBot="1" x14ac:dyDescent="0.3">
      <c r="A20" s="2" t="s">
        <v>60</v>
      </c>
      <c r="B20" s="47"/>
      <c r="C20" s="69" t="s">
        <v>51</v>
      </c>
      <c r="D20" s="49">
        <f t="shared" si="2"/>
        <v>9.52</v>
      </c>
      <c r="E20" s="62">
        <f t="shared" si="6"/>
        <v>0</v>
      </c>
      <c r="F20" s="63" t="e">
        <f t="shared" si="3"/>
        <v>#DIV/0!</v>
      </c>
      <c r="G20" s="64" t="e">
        <f t="shared" si="7"/>
        <v>#DIV/0!</v>
      </c>
      <c r="H20" s="53"/>
      <c r="I20" s="538" t="s">
        <v>28</v>
      </c>
      <c r="J20" s="539"/>
      <c r="K20" s="176">
        <v>1</v>
      </c>
      <c r="L20" s="167">
        <v>2</v>
      </c>
      <c r="M20" s="458"/>
      <c r="N20" s="56"/>
      <c r="O20" s="67">
        <v>2</v>
      </c>
      <c r="P20" s="32" t="e">
        <f t="shared" si="0"/>
        <v>#DIV/0!</v>
      </c>
      <c r="Q20" s="154">
        <v>0</v>
      </c>
      <c r="R20" s="33" t="s">
        <v>61</v>
      </c>
      <c r="S20" s="34" t="s">
        <v>62</v>
      </c>
      <c r="T20" s="32" t="e">
        <f>IF(AND(T11&gt;1,T11&lt;=40),ROUND(T11,1),0)</f>
        <v>#DIV/0!</v>
      </c>
      <c r="U20" s="35"/>
      <c r="V20" s="36">
        <f t="shared" si="4"/>
        <v>0</v>
      </c>
      <c r="W20" s="37" t="e">
        <f t="shared" si="5"/>
        <v>#DIV/0!</v>
      </c>
      <c r="X20" s="37" t="e">
        <f>ROUND(G23,0)</f>
        <v>#DIV/0!</v>
      </c>
      <c r="Y20" s="1"/>
      <c r="Z20" s="58"/>
      <c r="AA20" s="58"/>
      <c r="AB20" s="38"/>
      <c r="AC20" s="58"/>
      <c r="AD20" s="58"/>
      <c r="AE20" s="59"/>
      <c r="AF20" s="60"/>
      <c r="AG20" s="60"/>
      <c r="AH20" s="60"/>
      <c r="AI20" s="1"/>
      <c r="AJ20" s="60"/>
      <c r="AK20" s="58"/>
      <c r="AL20" s="58"/>
      <c r="AM20" s="58"/>
      <c r="AN20" s="58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s="23" customFormat="1" ht="15" customHeight="1" x14ac:dyDescent="0.25">
      <c r="A21" s="2" t="s">
        <v>63</v>
      </c>
      <c r="B21" s="47"/>
      <c r="C21" s="69" t="s">
        <v>55</v>
      </c>
      <c r="D21" s="49">
        <f t="shared" si="2"/>
        <v>4.76</v>
      </c>
      <c r="E21" s="62">
        <f t="shared" si="6"/>
        <v>0</v>
      </c>
      <c r="F21" s="63" t="e">
        <f t="shared" si="3"/>
        <v>#DIV/0!</v>
      </c>
      <c r="G21" s="64" t="e">
        <f t="shared" si="7"/>
        <v>#DIV/0!</v>
      </c>
      <c r="H21" s="53"/>
      <c r="I21" s="527" t="s">
        <v>35</v>
      </c>
      <c r="J21" s="528"/>
      <c r="K21" s="161">
        <v>11</v>
      </c>
      <c r="L21" s="161">
        <v>10</v>
      </c>
      <c r="M21" s="168">
        <v>12</v>
      </c>
      <c r="N21" s="56"/>
      <c r="O21" s="31">
        <v>0.42499999999999999</v>
      </c>
      <c r="P21" s="32" t="e">
        <f t="shared" si="0"/>
        <v>#DIV/0!</v>
      </c>
      <c r="Q21" s="154">
        <v>0</v>
      </c>
      <c r="R21" s="33" t="s">
        <v>64</v>
      </c>
      <c r="S21" s="68" t="s">
        <v>65</v>
      </c>
      <c r="T21" s="32">
        <f>IF(AND(T12&gt;=1,T12&lt;=20),ROUND(T12,1),0)</f>
        <v>12.2</v>
      </c>
      <c r="U21" s="35"/>
      <c r="V21" s="36">
        <f t="shared" si="4"/>
        <v>0</v>
      </c>
      <c r="W21" s="37" t="e">
        <f t="shared" si="5"/>
        <v>#DIV/0!</v>
      </c>
      <c r="X21" s="37" t="e">
        <f>ROUND(G24,0)</f>
        <v>#DIV/0!</v>
      </c>
      <c r="Y21" s="1"/>
      <c r="Z21" s="70"/>
      <c r="AA21" s="70"/>
      <c r="AB21" s="38"/>
      <c r="AC21" s="58"/>
      <c r="AD21" s="58"/>
      <c r="AE21" s="59"/>
      <c r="AF21" s="60"/>
      <c r="AG21" s="60"/>
      <c r="AH21" s="60"/>
      <c r="AI21" s="1"/>
      <c r="AJ21" s="60"/>
      <c r="AK21" s="58"/>
      <c r="AL21" s="58"/>
      <c r="AM21" s="58"/>
      <c r="AN21" s="58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s="23" customFormat="1" ht="15" customHeight="1" x14ac:dyDescent="0.25">
      <c r="A22" s="2"/>
      <c r="B22" s="47"/>
      <c r="C22" s="69" t="str">
        <f>R19</f>
        <v>N°10</v>
      </c>
      <c r="D22" s="49">
        <f t="shared" si="2"/>
        <v>2</v>
      </c>
      <c r="E22" s="62">
        <f>Q19</f>
        <v>0</v>
      </c>
      <c r="F22" s="63" t="e">
        <f t="shared" si="3"/>
        <v>#DIV/0!</v>
      </c>
      <c r="G22" s="64" t="e">
        <f t="shared" si="7"/>
        <v>#DIV/0!</v>
      </c>
      <c r="H22" s="53"/>
      <c r="I22" s="533" t="s">
        <v>41</v>
      </c>
      <c r="J22" s="534"/>
      <c r="K22" s="161">
        <v>0</v>
      </c>
      <c r="L22" s="163">
        <v>0</v>
      </c>
      <c r="M22" s="163" t="s">
        <v>131</v>
      </c>
      <c r="N22" s="56"/>
      <c r="O22" s="71">
        <v>0.42499999999999999</v>
      </c>
      <c r="P22" s="32" t="e">
        <f>IF(X22=0," ",X22)</f>
        <v>#DIV/0!</v>
      </c>
      <c r="Q22" s="154">
        <v>0</v>
      </c>
      <c r="R22" s="33" t="s">
        <v>66</v>
      </c>
      <c r="S22" s="34" t="s">
        <v>67</v>
      </c>
      <c r="T22" s="32" t="e">
        <f>IF(AND(T13&gt;=1,T13&lt;=20),ROUND(T13,1),0)</f>
        <v>#DIV/0!</v>
      </c>
      <c r="U22" s="35"/>
      <c r="V22" s="36">
        <f t="shared" si="4"/>
        <v>0</v>
      </c>
      <c r="W22" s="37" t="e">
        <f t="shared" si="5"/>
        <v>#DIV/0!</v>
      </c>
      <c r="X22" s="37" t="e">
        <f>ROUND(G25,0)</f>
        <v>#DIV/0!</v>
      </c>
      <c r="Y22" s="1"/>
      <c r="Z22" s="70"/>
      <c r="AA22" s="70"/>
      <c r="AB22" s="38"/>
      <c r="AC22" s="58"/>
      <c r="AD22" s="58"/>
      <c r="AE22" s="59"/>
      <c r="AF22" s="60"/>
      <c r="AG22" s="60"/>
      <c r="AH22" s="60"/>
      <c r="AI22" s="1"/>
      <c r="AJ22" s="60"/>
      <c r="AK22" s="58"/>
      <c r="AL22" s="58"/>
      <c r="AM22" s="58"/>
      <c r="AN22" s="58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s="23" customFormat="1" ht="14.25" customHeight="1" x14ac:dyDescent="0.25">
      <c r="A23" s="2"/>
      <c r="B23" s="47"/>
      <c r="C23" s="69" t="str">
        <f>R20</f>
        <v>N°20</v>
      </c>
      <c r="D23" s="49">
        <f t="shared" si="2"/>
        <v>2</v>
      </c>
      <c r="E23" s="62">
        <f t="shared" si="6"/>
        <v>0</v>
      </c>
      <c r="F23" s="63" t="e">
        <f t="shared" si="3"/>
        <v>#DIV/0!</v>
      </c>
      <c r="G23" s="64" t="e">
        <f t="shared" si="7"/>
        <v>#DIV/0!</v>
      </c>
      <c r="H23" s="53"/>
      <c r="I23" s="533" t="s">
        <v>45</v>
      </c>
      <c r="J23" s="534"/>
      <c r="K23" s="161">
        <v>0</v>
      </c>
      <c r="L23" s="163">
        <v>0</v>
      </c>
      <c r="M23" s="163" t="s">
        <v>132</v>
      </c>
      <c r="N23" s="56"/>
      <c r="O23" s="31">
        <v>7.3999999999999996E-2</v>
      </c>
      <c r="P23" s="32" t="e">
        <f t="shared" si="0"/>
        <v>#DIV/0!</v>
      </c>
      <c r="Q23" s="156">
        <v>130.30000000000001</v>
      </c>
      <c r="R23" s="34" t="s">
        <v>68</v>
      </c>
      <c r="S23" s="72" t="s">
        <v>69</v>
      </c>
      <c r="T23" s="73" t="e">
        <f>IF(AND(X10&gt;=60,X11&lt;60),10^(LOG(D13)-(LOG(D13)-LOG(D14))*(X10-60)/(X10-X11)),"")&amp;IF(AND(X11&gt;=60,X12&lt;60),10^(LOG(D14)-(LOG(D14)-LOG(D15))*(X11-60)/(X11-X12)),"")&amp;IF(AND(X12&gt;=60,X13&lt;60),10^(LOG(D15)-(LOG(D15)-LOG(D16))*(X12-60)/(X12-X13)),"")&amp;IF(AND(X13&gt;=60,X14&lt;60),10^(LOG(D16)-(LOG(D16)-LOG(D17))*(X13-60)/(X13-X14)),"")&amp;IF(AND(X14&gt;=60,X15&lt;=60),10^(LOG(D17)-(LOG(D17)-LOG(D18))*(X14-60)/(X14-X15)),"")&amp;IF(AND(X15&gt;=60,X16&lt;60),10^(LOG(D18)-(LOG(D18)-LOG(D19))*(X15-60)/(X15-X16)),"")&amp;IF(AND(X16&gt;=60,X17&lt;60),10^(LOG(D19)-(LOG(D19)-LOG(D20))*(X16-60)/(X16-X17)),"")&amp;IF(AND(X17&gt;=60,X18&lt;60),10^(LOG(D20)-(LOG(D20)-LOG(D21))*(X17-60)/(X17-X18)),"")&amp;IF(AND(X18&gt;=60,X19&lt;60),10^(LOG(D21)-(LOG(D21)-LOG(D22))*(X18-60)/(X18-X19)),"")&amp;IF(AND(X19&gt;=60,X20&lt;60),10^(LOG(D22)-(LOG(D22)-LOG(D23))*(X19-60)/(X19-X20)),"")&amp;IF(AND(X20&gt;=60,X21&lt;60),10^(LOG(D23)-(LOG(D23)-LOG(D24))*(X20-60)/(X20-X21)),"")&amp;IF(AND(X21&gt;=60,X22&lt;60),10^(LOG(D24)-(LOG(D24)-LOG(D25))*(X21-60)/(X21-X22)),"")&amp;IF(AND(X22&gt;=60,X23&lt;60),10^(LOG(D25)-(LOG(D25)-LOG(D26))*(X22-60)/(X22-X23)),"")</f>
        <v>#DIV/0!</v>
      </c>
      <c r="U23" s="74"/>
      <c r="V23" s="36">
        <f>IF($Q$24="I",V22+Q23,Q23)</f>
        <v>130.30000000000001</v>
      </c>
      <c r="W23" s="37" t="e">
        <f t="shared" si="5"/>
        <v>#DIV/0!</v>
      </c>
      <c r="X23" s="37" t="e">
        <f>ROUND(G26,0)</f>
        <v>#DIV/0!</v>
      </c>
      <c r="Y23" s="1"/>
      <c r="Z23" s="70"/>
      <c r="AA23" s="70"/>
      <c r="AB23" s="38"/>
      <c r="AC23" s="58"/>
      <c r="AD23" s="60"/>
      <c r="AE23" s="59"/>
      <c r="AF23" s="60"/>
      <c r="AG23" s="60"/>
      <c r="AH23" s="60"/>
      <c r="AI23" s="1"/>
      <c r="AJ23" s="60"/>
      <c r="AK23" s="58"/>
      <c r="AL23" s="58"/>
      <c r="AM23" s="58"/>
      <c r="AN23" s="58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s="23" customFormat="1" ht="15" customHeight="1" x14ac:dyDescent="0.25">
      <c r="A24" s="2"/>
      <c r="B24" s="47"/>
      <c r="C24" s="69" t="str">
        <f>R21</f>
        <v>N°40</v>
      </c>
      <c r="D24" s="49">
        <f t="shared" si="2"/>
        <v>0.42499999999999999</v>
      </c>
      <c r="E24" s="62">
        <f t="shared" si="6"/>
        <v>0</v>
      </c>
      <c r="F24" s="63" t="e">
        <f t="shared" si="3"/>
        <v>#DIV/0!</v>
      </c>
      <c r="G24" s="64" t="e">
        <f t="shared" si="7"/>
        <v>#DIV/0!</v>
      </c>
      <c r="H24" s="53"/>
      <c r="I24" s="533" t="s">
        <v>50</v>
      </c>
      <c r="J24" s="534"/>
      <c r="K24" s="163">
        <v>0</v>
      </c>
      <c r="L24" s="163">
        <v>0</v>
      </c>
      <c r="M24" s="169" t="s">
        <v>108</v>
      </c>
      <c r="N24" s="56"/>
      <c r="O24" s="22"/>
      <c r="P24" s="22"/>
      <c r="Q24" s="75" t="s">
        <v>70</v>
      </c>
      <c r="R24" s="76">
        <f>SLOPE(K18:M18,LN(K14:M14))</f>
        <v>-2.4093930121856619</v>
      </c>
      <c r="S24" s="72" t="s">
        <v>71</v>
      </c>
      <c r="T24" s="157" t="e">
        <f>IF(AND(X10&gt;=30,X11&lt;30),10^(LOG(D13)-(LOG(D13)-LOG(D14))*(X10-30)/(X10-X11)),"")&amp;IF(AND(X11&gt;=30,X12&lt;30),10^(LOG(D14)-(LOG(D14)-LOG(D15))*(X11-30)/(X11-X12)),"")&amp;IF(AND(X12&gt;=30,X13&lt;30),10^(LOG(D15)-(LOG(D15)-LOG(D16))*(X12-30)/(X12-X13)),"")&amp;IF(AND(X13&gt;=30,X14&lt;30),10^(LOG(D16)-(LOG(D16)-LOG(D17))*(X13-30)/(X13-X14)),"")&amp;IF(AND(X14&gt;=30,X15&lt;30),10^(LOG(D17)-(LOG(D17)-LOG(D18))*(X14-30)/(X14-X15)),"")&amp;IF(AND(X15&gt;=30,X16&lt;30),10^(LOG(D18)-(LOG(D18)-LOG(D19))*(X15-30)/(X15-X16)),"")&amp;IF(AND(X16&gt;=30,X17&lt;30),10^(LOG(D19)-(LOG(D19)-LOG(D20))*(X16-30)/(X16-X17)),"")&amp;IF(AND(X17&gt;=30,X18&lt;30),10^(LOG(D20)-(LOG(D20)-LOG(D21))*(X17-30)/(X17-X18)),"")&amp;IF(AND(X18&gt;=30,X19&lt;30),10^(LOG(D21)-(LOG(D21)-LOG(D22))*(X18-30)/(X18-X19)),"")&amp;IF(AND(X19&gt;=30,X20&lt;30),10^(LOG(D22)-(LOG(D22)-LOG(D23))*(X19-30)/(X19-X20)),"")&amp;IF(AND(X20&gt;=30,X21&lt;30),10^(LOG(D23)-(LOG(D23)-LOG(D24))*(X20-30)/(X20-X21)),"")&amp;IF(AND(X21&gt;=30,X22&lt;30),10^(LOG(D24)-(LOG(D24)-LOG(D25))*(X21-30)/(X21-X22)),"")&amp;IF(AND(X22&gt;=30,X23&lt;30),10^(LOG(D25)-(LOG(D25)-LOG(D26))*(X22-30)/(X22-X23)),"")</f>
        <v>#DIV/0!</v>
      </c>
      <c r="U24" s="74"/>
      <c r="V24" s="77" t="str">
        <f>""</f>
        <v/>
      </c>
      <c r="W24" s="58"/>
      <c r="X24" s="58"/>
      <c r="AC24" s="58"/>
      <c r="AD24" s="60"/>
      <c r="AE24" s="336"/>
      <c r="AF24" s="336"/>
      <c r="AG24" s="60"/>
      <c r="AH24" s="58"/>
      <c r="AI24" s="58"/>
      <c r="AJ24" s="58"/>
      <c r="AK24" s="58"/>
      <c r="AL24" s="58"/>
      <c r="AM24" s="58"/>
      <c r="AN24" s="58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s="23" customFormat="1" ht="15" customHeight="1" thickBot="1" x14ac:dyDescent="0.3">
      <c r="A25" s="2" t="s">
        <v>72</v>
      </c>
      <c r="B25" s="47"/>
      <c r="C25" s="69" t="str">
        <f>R22</f>
        <v>N°80</v>
      </c>
      <c r="D25" s="49">
        <f t="shared" si="2"/>
        <v>0.42499999999999999</v>
      </c>
      <c r="E25" s="62">
        <f t="shared" si="6"/>
        <v>0</v>
      </c>
      <c r="F25" s="63" t="e">
        <f t="shared" si="3"/>
        <v>#DIV/0!</v>
      </c>
      <c r="G25" s="64" t="e">
        <f t="shared" si="7"/>
        <v>#DIV/0!</v>
      </c>
      <c r="H25" s="53"/>
      <c r="I25" s="535" t="s">
        <v>54</v>
      </c>
      <c r="J25" s="536"/>
      <c r="K25" s="165" t="e">
        <f>(K22-K23)*100/(K23-K24)</f>
        <v>#DIV/0!</v>
      </c>
      <c r="L25" s="165" t="e">
        <f>(L22-L23)*100/(L23-L24)</f>
        <v>#DIV/0!</v>
      </c>
      <c r="M25" s="165" t="e">
        <f>(M22-M23)*100/(M23-M24)</f>
        <v>#VALUE!</v>
      </c>
      <c r="N25" s="56"/>
      <c r="O25" s="540" t="s">
        <v>73</v>
      </c>
      <c r="P25" s="446"/>
      <c r="Q25" s="78"/>
      <c r="R25" s="79">
        <f>INTERCEPT(K18:M18,LN(K14:M14))</f>
        <v>59.950233010470491</v>
      </c>
      <c r="S25" s="72" t="s">
        <v>74</v>
      </c>
      <c r="T25" s="73" t="e">
        <f>IF(AND(X10&gt;=10,X11&lt;10),10^(LOG(D13)-(LOG(D13)-LOG(D14))*(X10-10)/(X10-X11)),"")&amp;IF(AND(X11&gt;=10,X12&lt;10),10^(LOG(D14)-(LOG(D14)-LOG(D15))*(X11-10)/(X11-X12)),"")&amp;IF(AND(X12&gt;=10,X13&lt;10),10^(LOG(D15)-(LOG(D15)-LOG(D16))*(X12-10)/(X12-X13)),"")&amp;IF(AND(X13&gt;=10,X14&lt;10),10^(LOG(D16)-(LOG(D16)-LOG(D17))*(X13-10)/(X13-X14)),"")&amp;IF(AND(X14&gt;=10,X15&lt;10),10^(LOG(D17)-(LOG(D17)-LOG(D18))*(X14-10)/(X14-X15)),"")&amp;IF(AND(X15&gt;=10,X16&lt;10),10^(LOG(D18)-(LOG(D18)-LOG(D19))*(X15-10)/(X15-X16)),"")&amp;IF(AND(X16&gt;=10,X17&lt;10),10^(LOG(D19)-(LOG(D19)-LOG(D20))*(X16-10)/(X16-X17)),"")&amp;IF(AND(X17&gt;=10,X18&lt;10),10^(LOG(D20)-(LOG(D20)-LOG(D21))*(X17-10)/(X17-X18)),"")&amp;IF(AND(X18&gt;=10,X19&lt;10),10^(LOG(D21)-(LOG(D21)-LOG(D22))*(X18-10)/(X18-X19)),"")&amp;IF(AND(X19&gt;=10,X20&lt;10),10^(LOG(D22)-(LOG(D22)-LOG(D23))*(X19-10)/(X19-X20)),"")&amp;IF(AND(X20&gt;=10,X21&lt;10),10^(LOG(D23)-(LOG(D23)-LOG(D24))*(X20-10)/(X20-X21)),"")&amp;IF(AND(X21&gt;=10,X22&lt;10),10^(LOG(D24)-(LOG(D24)-LOG(D25))*(X21-10)/(X21-X22)),"")&amp;IF(AND(X22&gt;=10,X23&lt;10),10^(LOG(D25)-(LOG(D25)-LOG(D26))*(X22-10)/(X22-X23)),"")</f>
        <v>#DIV/0!</v>
      </c>
      <c r="U25" s="74"/>
      <c r="V25" s="77" t="str">
        <f>""</f>
        <v/>
      </c>
      <c r="W25" s="58"/>
      <c r="AC25" s="58"/>
      <c r="AD25" s="59"/>
      <c r="AE25" s="60"/>
      <c r="AF25" s="60"/>
      <c r="AG25" s="60"/>
      <c r="AH25" s="58"/>
      <c r="AI25" s="58"/>
      <c r="AJ25" s="58"/>
      <c r="AK25" s="58"/>
      <c r="AL25" s="58"/>
      <c r="AM25" s="58"/>
      <c r="AN25" s="58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s="23" customFormat="1" ht="15" customHeight="1" x14ac:dyDescent="0.25">
      <c r="A26" s="2" t="s">
        <v>75</v>
      </c>
      <c r="B26" s="47"/>
      <c r="C26" s="69" t="str">
        <f>R23</f>
        <v>N°200</v>
      </c>
      <c r="D26" s="49">
        <f>O23</f>
        <v>7.3999999999999996E-2</v>
      </c>
      <c r="E26" s="62">
        <f t="shared" si="6"/>
        <v>130.30000000000001</v>
      </c>
      <c r="F26" s="63" t="e">
        <f t="shared" si="3"/>
        <v>#DIV/0!</v>
      </c>
      <c r="G26" s="64" t="e">
        <f t="shared" si="7"/>
        <v>#DIV/0!</v>
      </c>
      <c r="H26" s="53"/>
      <c r="I26" s="80" t="s">
        <v>76</v>
      </c>
      <c r="J26" s="81"/>
      <c r="K26" s="81"/>
      <c r="L26" s="81"/>
      <c r="M26" s="81"/>
      <c r="N26" s="56"/>
      <c r="O26" s="22"/>
      <c r="P26" s="22"/>
      <c r="Q26" s="22"/>
      <c r="R26" s="22"/>
      <c r="S26" s="68" t="s">
        <v>77</v>
      </c>
      <c r="T26" s="7"/>
      <c r="U26" s="7"/>
      <c r="V26" s="77" t="str">
        <f>""</f>
        <v/>
      </c>
      <c r="W26" s="58"/>
      <c r="AC26" s="58"/>
      <c r="AD26" s="59"/>
      <c r="AE26" s="59"/>
      <c r="AF26" s="60"/>
      <c r="AG26" s="60"/>
      <c r="AH26" s="58"/>
      <c r="AI26" s="58"/>
      <c r="AJ26" s="58"/>
      <c r="AK26" s="58"/>
      <c r="AL26" s="58"/>
      <c r="AM26" s="58"/>
      <c r="AN26" s="58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s="23" customFormat="1" ht="15" customHeight="1" thickBot="1" x14ac:dyDescent="0.3">
      <c r="B27" s="47"/>
      <c r="C27" s="82" t="s">
        <v>78</v>
      </c>
      <c r="D27" s="83"/>
      <c r="E27" s="84" t="e">
        <f>Q6-SUM(E13:E26)</f>
        <v>#DIV/0!</v>
      </c>
      <c r="F27" s="85" t="e">
        <f>100-SUM(F13:F26)</f>
        <v>#DIV/0!</v>
      </c>
      <c r="G27" s="86"/>
      <c r="H27" s="53"/>
      <c r="I27" s="87" t="e">
        <f>IF(OR(I35=0,I31=0),0,ROUND(I35/I31,0))</f>
        <v>#DIV/0!</v>
      </c>
      <c r="J27" s="88"/>
      <c r="K27" s="88"/>
      <c r="L27" s="88"/>
      <c r="M27" s="88"/>
      <c r="N27" s="56"/>
      <c r="O27" s="541" t="s">
        <v>79</v>
      </c>
      <c r="P27" s="431"/>
      <c r="Q27" s="73" t="str">
        <f>IF(AND(L14="",M14="",K14&lt;=30,K14&gt;=20),((K14/25)^0.121)*K18,"")&amp;IF(AND(L14="",M14="",OR(K14&gt;30,K14&lt;20)),0,"")&amp;IF(AND(L14&gt;1,M14&gt;1),($R$24*LN(25))+$R$25,"")</f>
        <v>52,1946960909397</v>
      </c>
      <c r="R27" s="89">
        <f>ROUND(Q27,0)</f>
        <v>52</v>
      </c>
      <c r="S27" s="68" t="e">
        <f>IF(AND(X23&gt;=50,R27&gt;50,F32&gt;=T17),"CH","")&amp;IF(AND(X23&gt;=50,R27&gt;50,F32&lt;T17),"MH","")&amp;IF(AND(X23&gt;=50,R27&lt;=50,F32&lt;T17),"ML","")&amp;IF(AND(X23&gt;=50,R27&lt;=50,F32&gt;=T17),"CL","")&amp;IF(AND(X23&lt;5,X18&lt;=50,T15&gt;T16,OR(I27&lt;4,I29&lt;1,I29&gt;3)),"GP","")&amp;IF(AND(X23&lt;5,X18&lt;=50,I27&gt;=4,I29&gt;=1,I29&lt;=3),"GW","")&amp;IF(AND(X23&lt;5,X18&gt;50,OR(I27&lt;6,I29&lt;1,I29&gt;3)),"SP","")&amp;IF(AND(X23&lt;5,X18&gt;50,I27&gt;=6,I29&gt;=1,I29&lt;=3),"SW","")&amp;IF(AND(X23&gt;12,X18&lt;=50,F32&lt;4),"GM","")&amp;IF(AND(X23&lt;50,X23&gt;12,X18&gt;50,F32&lt;4),"SM","")&amp;IF(AND(X23&gt;12,X18&lt;=50,F32&gt;7),"GC","")&amp;IF(AND(X23&lt;50,X23&gt;12,X18&gt;50,F32&gt;7),"SC","")&amp;IF(AND(X23&gt;=12,X18&lt;=50,F32&gt;=4,F32&lt;=7),"GM¤GC","")&amp;IF(AND(X23&lt;50,X23&gt;=12,X18&gt;50,F32&gt;=4,F32&lt;=7),"SM¤SC","")</f>
        <v>#DIV/0!</v>
      </c>
      <c r="T27" s="7"/>
      <c r="U27" s="7"/>
      <c r="V27" s="131"/>
      <c r="W27" s="60"/>
      <c r="X27" s="81"/>
      <c r="Y27" s="60"/>
      <c r="Z27" s="60"/>
      <c r="AA27" s="60"/>
      <c r="AB27" s="60"/>
      <c r="AC27" s="60"/>
      <c r="AD27" s="59"/>
      <c r="AE27" s="59"/>
      <c r="AF27" s="60"/>
      <c r="AG27" s="60"/>
      <c r="AH27" s="60"/>
      <c r="AI27" s="60"/>
      <c r="AJ27" s="60"/>
      <c r="AK27" s="60"/>
      <c r="AL27" s="60"/>
      <c r="AM27" s="58"/>
      <c r="AN27" s="58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s="23" customFormat="1" ht="15" customHeight="1" thickBot="1" x14ac:dyDescent="0.3">
      <c r="B28" s="47"/>
      <c r="C28" s="542" t="s">
        <v>80</v>
      </c>
      <c r="D28" s="543"/>
      <c r="E28" s="90" t="e">
        <f>SUM(E13:E27)</f>
        <v>#DIV/0!</v>
      </c>
      <c r="F28" s="91"/>
      <c r="G28" s="81"/>
      <c r="H28" s="81"/>
      <c r="I28" s="92" t="s">
        <v>81</v>
      </c>
      <c r="J28" s="88"/>
      <c r="K28" s="88"/>
      <c r="L28" s="88"/>
      <c r="M28" s="88"/>
      <c r="N28" s="56"/>
      <c r="O28" s="541" t="s">
        <v>82</v>
      </c>
      <c r="P28" s="431"/>
      <c r="Q28" s="32" t="e">
        <f>IF(AND(K22="",L22=""),0,AVERAGE(K25:L25))</f>
        <v>#DIV/0!</v>
      </c>
      <c r="R28" s="89" t="e">
        <f>ROUND(Q28,0)</f>
        <v>#DIV/0!</v>
      </c>
      <c r="S28" s="68" t="e">
        <f>IF(AND(S27="",X23&gt;=5,X23&lt;=12,X18&lt;=50,F32&lt;=4,OR(I27&lt;4,I29&lt;1,I29&gt;3)),"GP¤GM","")&amp;IF(AND(S27="",X23&gt;=5,X23&lt;=12,X18&lt;=50,F32&gt;=7,OR(I27&lt;4,I29&lt;1,I29&gt;3)),"GP¤GC","")&amp;IF(AND(S27="",X23&gt;=5,X23&lt;=12,X18&lt;=50,I27&gt;=4,I29&gt;=1,I29&lt;=3,F32&lt;=4),"GW¤GM","")&amp;IF(AND(S27="",X23&gt;=5,X23&lt;=12,X18&lt;=50,I27&gt;=4,I29&gt;=1,I29&lt;=3,F32&gt;=7),"GW¤GC","")&amp;IF(AND(S27="",X23&gt;=5,X23&lt;=12,X18&gt;50,F32&lt;=4,OR(I27&lt;6,I29&lt;1,I29&gt;3)),"SP¤SM","")&amp;IF(AND(S27="",X23&gt;=5,X23&lt;=12,X18&gt;50,F32&lt;=7,OR(I27&lt;6,I29&lt;1,I29&gt;3)),"SP¤SC","")&amp;IF(AND(S27="",X23&gt;=5,X23&lt;=12,X18&gt;50,I27&gt;=6,I29&gt;=1,I29&lt;=3,F32&lt;=4),"SW¤SM","")&amp;IF(AND(S27="",X23&gt;=5,X23&lt;=12,X18&gt;50,I27&gt;=6,I29&gt;=1,I29&lt;=3,F32&gt;=7),"SW¤SC","")&amp;IF(AND(S27="ML",F32&gt;=4,F32&lt;=7),"ML-CL","")</f>
        <v>#DIV/0!</v>
      </c>
      <c r="T28" s="7" t="s">
        <v>13</v>
      </c>
      <c r="U28" s="7"/>
      <c r="V28" s="132"/>
      <c r="W28" s="60"/>
      <c r="X28" s="94"/>
      <c r="Y28" s="143"/>
      <c r="Z28" s="60"/>
      <c r="AA28" s="60"/>
      <c r="AB28" s="60"/>
      <c r="AC28" s="60"/>
      <c r="AD28" s="59"/>
      <c r="AE28" s="144"/>
      <c r="AF28" s="144"/>
      <c r="AG28" s="144"/>
      <c r="AH28" s="144"/>
      <c r="AI28" s="144"/>
      <c r="AJ28" s="60"/>
      <c r="AK28" s="60"/>
      <c r="AL28" s="60"/>
      <c r="AM28" s="58"/>
      <c r="AN28" s="58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s="23" customFormat="1" ht="15" customHeight="1" thickBot="1" x14ac:dyDescent="0.3">
      <c r="B29" s="47"/>
      <c r="C29" s="434" t="s">
        <v>83</v>
      </c>
      <c r="D29" s="435"/>
      <c r="E29" s="435"/>
      <c r="F29" s="435"/>
      <c r="G29" s="436"/>
      <c r="H29" s="81"/>
      <c r="I29" s="87" t="e">
        <f>IF(OR(I35=0,I33=0,I31=0),0,ROUND((I33^2/(I31*I35)),0))</f>
        <v>#DIV/0!</v>
      </c>
      <c r="J29" s="88"/>
      <c r="K29" s="88"/>
      <c r="L29" s="88"/>
      <c r="M29" s="88"/>
      <c r="N29" s="56"/>
      <c r="O29" s="22"/>
      <c r="P29" s="95"/>
      <c r="Q29" s="22"/>
      <c r="R29" s="22"/>
      <c r="S29" s="68" t="e">
        <f>IF(AND(OR(S27="CL",S27="ML"),Q25="S"),"OL","")&amp;IF(AND(OR(S27="CH",S27="MH"),Q25="S"),"OH","")</f>
        <v>#DIV/0!</v>
      </c>
      <c r="T29" s="7"/>
      <c r="U29" s="7"/>
      <c r="V29" s="132"/>
      <c r="W29" s="60"/>
      <c r="X29" s="94"/>
      <c r="Y29" s="143"/>
      <c r="Z29" s="60"/>
      <c r="AA29" s="60"/>
      <c r="AB29" s="60"/>
      <c r="AC29" s="60"/>
      <c r="AD29" s="59"/>
      <c r="AE29" s="59"/>
      <c r="AF29" s="59"/>
      <c r="AG29" s="145"/>
      <c r="AH29" s="145"/>
      <c r="AI29" s="59"/>
      <c r="AJ29" s="60"/>
      <c r="AK29" s="60"/>
      <c r="AL29" s="60"/>
      <c r="AM29" s="58"/>
      <c r="AN29" s="58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 spans="1:58" s="58" customFormat="1" ht="15" customHeight="1" x14ac:dyDescent="0.2">
      <c r="B30" s="47"/>
      <c r="C30" s="544" t="s">
        <v>79</v>
      </c>
      <c r="D30" s="545"/>
      <c r="E30" s="546"/>
      <c r="F30" s="96">
        <f>IF(R27=0,"NL",ROUND(Q27,0))</f>
        <v>52</v>
      </c>
      <c r="G30" s="97" t="s">
        <v>84</v>
      </c>
      <c r="H30" s="98"/>
      <c r="I30" s="92" t="s">
        <v>85</v>
      </c>
      <c r="J30" s="88"/>
      <c r="K30" s="88"/>
      <c r="L30" s="88"/>
      <c r="M30" s="88"/>
      <c r="N30" s="56"/>
      <c r="O30" s="77"/>
      <c r="P30" s="99"/>
      <c r="Q30" s="77"/>
      <c r="R30" s="77"/>
      <c r="S30" s="77"/>
      <c r="T30" s="77"/>
      <c r="U30" s="77"/>
      <c r="V30" s="131"/>
      <c r="W30" s="59"/>
      <c r="X30" s="100"/>
      <c r="Y30" s="100"/>
      <c r="Z30" s="60"/>
      <c r="AA30" s="60"/>
      <c r="AB30" s="60"/>
      <c r="AC30" s="60"/>
      <c r="AD30" s="59"/>
      <c r="AE30" s="59"/>
      <c r="AF30" s="60"/>
      <c r="AG30" s="60"/>
      <c r="AH30" s="60"/>
      <c r="AI30" s="60"/>
      <c r="AJ30" s="60"/>
      <c r="AK30" s="60"/>
      <c r="AL30" s="60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 spans="1:58" ht="15" customHeight="1" x14ac:dyDescent="0.2">
      <c r="B31" s="47"/>
      <c r="C31" s="547" t="s">
        <v>82</v>
      </c>
      <c r="D31" s="548"/>
      <c r="E31" s="549"/>
      <c r="F31" s="101" t="e">
        <f>IF(R28=0,"NP",ROUND(Q28,0))</f>
        <v>#DIV/0!</v>
      </c>
      <c r="G31" s="102" t="e">
        <f>IF(AND(X19&lt;=50,X21&lt;=30,X23&lt;=15,F32&lt;=6,F33=0),"A-1-a","")&amp;IF(AND(X21&lt;=50,X21&gt;30,X23&lt;=25,X23&gt;15,F32&lt;=6,F33=0),"A-1-b","")&amp;IF(AND(X21&gt;50,X23&lt;=10,R27=0,F33=0),"A-3","")&amp;IF(AND(X23&lt;=35,X23&gt;15,R27&lt;=40,F32&lt;=10,F33=0),"A-2-4","")&amp;IF(AND(X23&lt;=35,R27&gt;40,F32&lt;=10,F33=0),"A-2-5","")&amp;IF(AND(X23&lt;=35,R27&lt;=40,F32&gt;10,F33&lt;=4),"A-2-6","")&amp;IF(AND(X23&lt;=35,R27&gt;40,F32&gt;10,F33&lt;=4),"A-2-7","")&amp;IF(AND(X23&gt;35,R27&lt;=40,F32&lt;=10,F33&lt;=8),"A-4","")&amp;IF(AND(X23&gt;35,R27&gt;40,F32&lt;=10,F33&lt;=12),"A-5","")&amp;IF(AND(X23&gt;35,R27&lt;=40,F32&gt;10,F33&lt;=16),"A-6","")&amp;IF(AND(X23&gt;35,R27&gt;40,F32&gt;10,F33&lt;=20,OR(F32&lt;=T14,R28&gt;=30)),"A-7-5","")&amp;IF(AND(X23&gt;35,R27&gt;40,F32&gt;10,F33&lt;=20,OR(F32&gt;T14,R28&lt;30)),"A-7-6","")</f>
        <v>#DIV/0!</v>
      </c>
      <c r="H31" s="103"/>
      <c r="I31" s="104" t="e">
        <f>IF(T25="",0,ROUND(T25,2))</f>
        <v>#DIV/0!</v>
      </c>
      <c r="J31" s="88"/>
      <c r="K31" s="88"/>
      <c r="L31" s="88"/>
      <c r="M31" s="88"/>
      <c r="N31" s="56"/>
      <c r="O31" s="7"/>
      <c r="P31" s="34">
        <v>76.2</v>
      </c>
      <c r="Q31" s="34">
        <v>100</v>
      </c>
      <c r="R31" s="16" t="s">
        <v>36</v>
      </c>
      <c r="S31" s="31">
        <v>38.1</v>
      </c>
      <c r="T31" s="105"/>
      <c r="U31" s="35"/>
      <c r="V31" s="106"/>
      <c r="W31" s="60"/>
      <c r="X31" s="424"/>
      <c r="Y31" s="424"/>
      <c r="Z31" s="60"/>
      <c r="AA31" s="123"/>
      <c r="AB31" s="60"/>
      <c r="AC31" s="146"/>
      <c r="AD31" s="59"/>
      <c r="AE31" s="147"/>
      <c r="AF31" s="123"/>
      <c r="AG31" s="123"/>
      <c r="AH31" s="123"/>
      <c r="AI31" s="123"/>
      <c r="AJ31" s="123"/>
      <c r="AK31" s="123"/>
      <c r="AL31" s="123"/>
    </row>
    <row r="32" spans="1:58" ht="12.75" customHeight="1" x14ac:dyDescent="0.2">
      <c r="B32" s="47"/>
      <c r="C32" s="550" t="s">
        <v>86</v>
      </c>
      <c r="D32" s="551"/>
      <c r="E32" s="552"/>
      <c r="F32" s="101" t="e">
        <f>ROUND(R27-R28,0)</f>
        <v>#DIV/0!</v>
      </c>
      <c r="G32" s="102" t="s">
        <v>87</v>
      </c>
      <c r="H32" s="107"/>
      <c r="I32" s="104" t="s">
        <v>88</v>
      </c>
      <c r="J32" s="88"/>
      <c r="K32" s="88"/>
      <c r="L32" s="88"/>
      <c r="M32" s="88"/>
      <c r="N32" s="108"/>
      <c r="O32" s="7"/>
      <c r="P32" s="34">
        <v>76.2</v>
      </c>
      <c r="Q32" s="34">
        <v>0</v>
      </c>
      <c r="R32" s="16">
        <v>1</v>
      </c>
      <c r="S32" s="31">
        <v>25.4</v>
      </c>
      <c r="T32" s="105"/>
      <c r="U32" s="35"/>
      <c r="V32" s="106"/>
      <c r="W32" s="60"/>
      <c r="X32" s="424"/>
      <c r="Y32" s="424"/>
      <c r="Z32" s="60"/>
      <c r="AA32" s="123"/>
      <c r="AB32" s="123"/>
      <c r="AC32" s="60"/>
      <c r="AD32" s="59"/>
      <c r="AE32" s="147"/>
      <c r="AF32" s="123"/>
      <c r="AG32" s="123"/>
      <c r="AH32" s="123"/>
      <c r="AI32" s="123"/>
      <c r="AJ32" s="123"/>
      <c r="AK32" s="123"/>
      <c r="AL32" s="123"/>
    </row>
    <row r="33" spans="2:40" ht="15.75" thickBot="1" x14ac:dyDescent="0.25">
      <c r="B33" s="47"/>
      <c r="C33" s="553" t="s">
        <v>89</v>
      </c>
      <c r="D33" s="554"/>
      <c r="E33" s="555"/>
      <c r="F33" s="109" t="e">
        <f>ROUNDUP(((0.2*T19)+(0.005*T19*T21)+(0.01*T20*T22)),0)</f>
        <v>#DIV/0!</v>
      </c>
      <c r="G33" s="110" t="e">
        <f>S27</f>
        <v>#DIV/0!</v>
      </c>
      <c r="H33" s="107"/>
      <c r="I33" s="104" t="e">
        <f>IF(T24="",0,ROUND(T24,2))</f>
        <v>#DIV/0!</v>
      </c>
      <c r="J33" s="88"/>
      <c r="K33" s="88"/>
      <c r="L33" s="88"/>
      <c r="M33" s="88"/>
      <c r="N33" s="108"/>
      <c r="O33" s="7"/>
      <c r="P33" s="34">
        <v>63.5</v>
      </c>
      <c r="Q33" s="34">
        <v>100</v>
      </c>
      <c r="R33" s="16" t="s">
        <v>42</v>
      </c>
      <c r="S33" s="31">
        <v>19.05</v>
      </c>
      <c r="T33" s="105"/>
      <c r="U33" s="35"/>
      <c r="V33" s="111"/>
      <c r="W33" s="60"/>
      <c r="X33" s="148"/>
      <c r="Y33" s="179"/>
      <c r="Z33" s="60"/>
      <c r="AA33" s="123"/>
      <c r="AB33" s="123"/>
      <c r="AC33" s="60"/>
      <c r="AD33" s="59"/>
      <c r="AE33" s="147"/>
      <c r="AF33" s="123"/>
      <c r="AG33" s="123"/>
      <c r="AH33" s="123"/>
      <c r="AI33" s="123"/>
      <c r="AJ33" s="123"/>
      <c r="AK33" s="123"/>
      <c r="AL33" s="123"/>
    </row>
    <row r="34" spans="2:40" ht="15" x14ac:dyDescent="0.2">
      <c r="B34" s="47"/>
      <c r="C34" s="112" t="s">
        <v>90</v>
      </c>
      <c r="D34" s="91"/>
      <c r="E34" s="91"/>
      <c r="F34" s="113"/>
      <c r="G34" s="114"/>
      <c r="H34" s="115"/>
      <c r="I34" s="104" t="s">
        <v>91</v>
      </c>
      <c r="J34" s="88"/>
      <c r="K34" s="88"/>
      <c r="L34" s="88"/>
      <c r="M34" s="88"/>
      <c r="N34" s="108"/>
      <c r="O34" s="7"/>
      <c r="P34" s="34">
        <v>63.5</v>
      </c>
      <c r="Q34" s="34">
        <v>0</v>
      </c>
      <c r="R34" s="16" t="s">
        <v>46</v>
      </c>
      <c r="S34" s="31">
        <v>12.7</v>
      </c>
      <c r="T34" s="105"/>
      <c r="U34" s="35"/>
      <c r="V34" s="116"/>
      <c r="W34" s="59"/>
      <c r="X34" s="148"/>
      <c r="Y34" s="179"/>
      <c r="Z34" s="60"/>
      <c r="AA34" s="123"/>
      <c r="AB34" s="123"/>
      <c r="AC34" s="60"/>
      <c r="AD34" s="59"/>
      <c r="AE34" s="147"/>
      <c r="AF34" s="123"/>
      <c r="AG34" s="123"/>
      <c r="AH34" s="123"/>
      <c r="AI34" s="123"/>
      <c r="AJ34" s="123"/>
      <c r="AK34" s="123"/>
      <c r="AL34" s="123"/>
    </row>
    <row r="35" spans="2:40" ht="15.75" thickBot="1" x14ac:dyDescent="0.25">
      <c r="B35" s="47"/>
      <c r="C35" s="117"/>
      <c r="D35" s="118"/>
      <c r="E35" s="118"/>
      <c r="F35" s="119"/>
      <c r="G35" s="119"/>
      <c r="H35" s="88"/>
      <c r="I35" s="120" t="e">
        <f>IF(T23="",0,ROUND(T23,2))</f>
        <v>#DIV/0!</v>
      </c>
      <c r="J35" s="88"/>
      <c r="K35" s="88"/>
      <c r="L35" s="88"/>
      <c r="M35" s="88"/>
      <c r="N35" s="108"/>
      <c r="O35" s="7"/>
      <c r="P35" s="34">
        <v>50.8</v>
      </c>
      <c r="Q35" s="34">
        <v>100</v>
      </c>
      <c r="R35" s="16" t="s">
        <v>51</v>
      </c>
      <c r="S35" s="31">
        <v>9.52</v>
      </c>
      <c r="T35" s="105"/>
      <c r="U35" s="35"/>
      <c r="V35" s="111"/>
      <c r="W35" s="60"/>
      <c r="X35" s="148"/>
      <c r="Y35" s="179"/>
      <c r="Z35" s="145"/>
      <c r="AA35" s="123"/>
      <c r="AB35" s="123"/>
      <c r="AC35" s="60"/>
      <c r="AD35" s="60"/>
      <c r="AE35" s="123"/>
      <c r="AF35" s="123"/>
      <c r="AG35" s="123"/>
      <c r="AH35" s="123"/>
      <c r="AI35" s="123"/>
      <c r="AJ35" s="123"/>
      <c r="AK35" s="123"/>
      <c r="AL35" s="123"/>
    </row>
    <row r="36" spans="2:40" ht="15" x14ac:dyDescent="0.2">
      <c r="B36" s="47"/>
      <c r="C36" s="121"/>
      <c r="D36" s="121"/>
      <c r="E36" s="121"/>
      <c r="F36" s="122"/>
      <c r="G36" s="122"/>
      <c r="H36" s="88"/>
      <c r="I36" s="98"/>
      <c r="J36" s="88"/>
      <c r="K36" s="88"/>
      <c r="L36" s="88"/>
      <c r="M36" s="98"/>
      <c r="N36" s="108"/>
      <c r="O36" s="7"/>
      <c r="P36" s="34">
        <v>50.8</v>
      </c>
      <c r="Q36" s="34">
        <v>0</v>
      </c>
      <c r="R36" s="16" t="s">
        <v>55</v>
      </c>
      <c r="S36" s="31">
        <v>4.76</v>
      </c>
      <c r="T36" s="105"/>
      <c r="U36" s="35"/>
      <c r="V36" s="111"/>
      <c r="W36" s="60"/>
      <c r="X36" s="148"/>
      <c r="Y36" s="177"/>
      <c r="Z36" s="60"/>
      <c r="AA36" s="123"/>
      <c r="AB36" s="123"/>
      <c r="AC36" s="60"/>
      <c r="AD36" s="60"/>
      <c r="AE36" s="123"/>
      <c r="AF36" s="123"/>
      <c r="AG36" s="123"/>
      <c r="AH36" s="123"/>
      <c r="AI36" s="123"/>
      <c r="AJ36" s="123"/>
      <c r="AK36" s="316"/>
      <c r="AL36" s="316"/>
      <c r="AM36" s="309"/>
      <c r="AN36" s="309"/>
    </row>
    <row r="37" spans="2:40" ht="15" x14ac:dyDescent="0.2">
      <c r="B37" s="47"/>
      <c r="C37" s="98"/>
      <c r="D37" s="98"/>
      <c r="E37" s="98"/>
      <c r="F37" s="98"/>
      <c r="G37" s="98"/>
      <c r="H37" s="88"/>
      <c r="I37" s="88"/>
      <c r="J37" s="88"/>
      <c r="K37" s="88"/>
      <c r="L37" s="88"/>
      <c r="M37" s="88"/>
      <c r="N37" s="108"/>
      <c r="O37" s="7"/>
      <c r="P37" s="34">
        <v>38.1</v>
      </c>
      <c r="Q37" s="34">
        <v>100</v>
      </c>
      <c r="R37" s="16" t="s">
        <v>58</v>
      </c>
      <c r="S37" s="67">
        <v>2</v>
      </c>
      <c r="T37" s="105"/>
      <c r="U37" s="35"/>
      <c r="V37" s="111"/>
      <c r="W37" s="60"/>
      <c r="X37" s="429"/>
      <c r="Y37" s="429"/>
      <c r="Z37" s="60"/>
      <c r="AA37" s="123"/>
      <c r="AB37" s="123"/>
      <c r="AC37" s="60"/>
      <c r="AD37" s="60"/>
      <c r="AE37" s="123"/>
      <c r="AF37" s="123"/>
      <c r="AG37" s="123"/>
      <c r="AH37" s="123"/>
      <c r="AI37" s="123"/>
      <c r="AJ37" s="123"/>
      <c r="AK37" s="123"/>
      <c r="AL37" s="123"/>
    </row>
    <row r="38" spans="2:40" ht="15" x14ac:dyDescent="0.2">
      <c r="B38" s="4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108"/>
      <c r="O38" s="7"/>
      <c r="P38" s="34">
        <v>38.1</v>
      </c>
      <c r="Q38" s="34">
        <v>0</v>
      </c>
      <c r="R38" s="16" t="s">
        <v>61</v>
      </c>
      <c r="S38" s="31"/>
      <c r="T38" s="105"/>
      <c r="U38" s="35"/>
      <c r="V38" s="111"/>
      <c r="W38" s="123"/>
      <c r="X38" s="123"/>
      <c r="Y38" s="123"/>
      <c r="Z38" s="123"/>
      <c r="AA38" s="123"/>
      <c r="AB38" s="123"/>
      <c r="AC38" s="60"/>
      <c r="AD38" s="60"/>
      <c r="AE38" s="316"/>
      <c r="AF38" s="316"/>
      <c r="AG38" s="317"/>
      <c r="AH38" s="317"/>
      <c r="AI38" s="316"/>
      <c r="AJ38" s="316"/>
      <c r="AK38" s="123"/>
      <c r="AL38" s="123"/>
    </row>
    <row r="39" spans="2:40" ht="15" x14ac:dyDescent="0.2">
      <c r="B39" s="4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108"/>
      <c r="O39" s="7"/>
      <c r="P39" s="34">
        <v>25.4</v>
      </c>
      <c r="Q39" s="34">
        <v>100</v>
      </c>
      <c r="R39" s="16" t="s">
        <v>64</v>
      </c>
      <c r="S39" s="31">
        <v>0.42499999999999999</v>
      </c>
      <c r="T39" s="105"/>
      <c r="U39" s="35"/>
      <c r="V39" s="111"/>
      <c r="W39" s="60"/>
      <c r="X39" s="123"/>
      <c r="Y39" s="123"/>
      <c r="Z39" s="60"/>
      <c r="AA39" s="123"/>
      <c r="AB39" s="123"/>
      <c r="AC39" s="316"/>
      <c r="AD39" s="316"/>
      <c r="AE39" s="123"/>
      <c r="AF39" s="123"/>
      <c r="AG39" s="178"/>
      <c r="AH39" s="178"/>
      <c r="AI39" s="123"/>
      <c r="AJ39" s="123"/>
      <c r="AK39" s="123"/>
      <c r="AL39" s="123"/>
    </row>
    <row r="40" spans="2:40" ht="15" x14ac:dyDescent="0.2">
      <c r="B40" s="4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108"/>
      <c r="O40" s="7"/>
      <c r="P40" s="34">
        <v>25.4</v>
      </c>
      <c r="Q40" s="34">
        <v>0</v>
      </c>
      <c r="R40" s="16" t="s">
        <v>66</v>
      </c>
      <c r="S40" s="71">
        <v>0.18</v>
      </c>
      <c r="T40" s="124"/>
      <c r="U40" s="35"/>
      <c r="V40" s="316"/>
      <c r="W40" s="316"/>
      <c r="X40" s="123"/>
      <c r="Y40" s="123"/>
      <c r="Z40" s="60"/>
      <c r="AA40" s="316"/>
      <c r="AB40" s="316"/>
      <c r="AC40" s="123"/>
      <c r="AD40" s="123"/>
      <c r="AE40" s="123"/>
      <c r="AF40" s="123"/>
      <c r="AG40" s="178"/>
      <c r="AH40" s="178"/>
      <c r="AI40" s="123"/>
      <c r="AJ40" s="123"/>
      <c r="AK40" s="123"/>
      <c r="AL40" s="123"/>
    </row>
    <row r="41" spans="2:40" ht="15" x14ac:dyDescent="0.2">
      <c r="B41" s="4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108"/>
      <c r="O41" s="7"/>
      <c r="P41" s="34">
        <v>19.05</v>
      </c>
      <c r="Q41" s="34">
        <v>100</v>
      </c>
      <c r="R41" s="16" t="s">
        <v>68</v>
      </c>
      <c r="S41" s="31">
        <v>7.3999999999999996E-2</v>
      </c>
      <c r="T41" s="105"/>
      <c r="U41" s="35"/>
      <c r="V41" s="125"/>
      <c r="W41" s="126"/>
      <c r="X41" s="60"/>
      <c r="Y41" s="123"/>
      <c r="Z41" s="60"/>
      <c r="AA41" s="123"/>
      <c r="AB41" s="123"/>
      <c r="AC41" s="123"/>
      <c r="AD41" s="123"/>
      <c r="AE41" s="123"/>
      <c r="AF41" s="123"/>
      <c r="AG41" s="178"/>
      <c r="AH41" s="178"/>
      <c r="AI41" s="123"/>
      <c r="AJ41" s="123"/>
      <c r="AK41" s="123"/>
      <c r="AL41" s="123"/>
    </row>
    <row r="42" spans="2:40" ht="14.25" x14ac:dyDescent="0.2">
      <c r="B42" s="4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108"/>
      <c r="O42" s="7"/>
      <c r="P42" s="34">
        <v>19.05</v>
      </c>
      <c r="Q42" s="34">
        <v>0</v>
      </c>
      <c r="R42" s="7"/>
      <c r="S42" s="7"/>
      <c r="T42" s="105"/>
      <c r="U42" s="35"/>
      <c r="V42" s="125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78"/>
      <c r="AH42" s="178"/>
      <c r="AI42" s="123"/>
      <c r="AJ42" s="123"/>
      <c r="AK42" s="123"/>
      <c r="AL42" s="123"/>
    </row>
    <row r="43" spans="2:40" ht="14.25" x14ac:dyDescent="0.2">
      <c r="B43" s="4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108"/>
      <c r="O43" s="7"/>
      <c r="P43" s="34">
        <v>12.7</v>
      </c>
      <c r="Q43" s="34">
        <v>100</v>
      </c>
      <c r="R43" s="7"/>
      <c r="S43" s="7"/>
      <c r="T43" s="105"/>
      <c r="U43" s="35"/>
      <c r="V43" s="127"/>
      <c r="W43" s="128"/>
      <c r="X43" s="123"/>
      <c r="Y43" s="123"/>
      <c r="Z43" s="123"/>
      <c r="AA43" s="123"/>
      <c r="AB43" s="123"/>
      <c r="AC43" s="123"/>
      <c r="AD43" s="123"/>
      <c r="AE43" s="123"/>
      <c r="AF43" s="123"/>
      <c r="AG43" s="178"/>
      <c r="AH43" s="178"/>
      <c r="AI43" s="123"/>
      <c r="AJ43" s="123"/>
      <c r="AK43" s="123"/>
      <c r="AL43" s="123"/>
    </row>
    <row r="44" spans="2:40" ht="15" x14ac:dyDescent="0.2">
      <c r="B44" s="4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108"/>
      <c r="O44" s="7"/>
      <c r="P44" s="34">
        <v>12.7</v>
      </c>
      <c r="Q44" s="34">
        <v>0</v>
      </c>
      <c r="R44" s="7"/>
      <c r="S44" s="7"/>
      <c r="T44" s="7"/>
      <c r="U44" s="129"/>
      <c r="V44" s="130"/>
      <c r="W44" s="128"/>
      <c r="X44" s="123"/>
      <c r="Y44" s="123"/>
      <c r="Z44" s="123"/>
      <c r="AA44" s="123"/>
      <c r="AB44" s="123"/>
      <c r="AC44" s="123"/>
      <c r="AD44" s="123"/>
      <c r="AE44" s="123"/>
      <c r="AF44" s="123"/>
      <c r="AG44" s="178"/>
      <c r="AH44" s="178"/>
      <c r="AI44" s="123"/>
      <c r="AJ44" s="123"/>
      <c r="AK44" s="123"/>
      <c r="AL44" s="123"/>
    </row>
    <row r="45" spans="2:40" ht="15" x14ac:dyDescent="0.2">
      <c r="B45" s="4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108"/>
      <c r="O45" s="7"/>
      <c r="P45" s="34">
        <v>9.52</v>
      </c>
      <c r="Q45" s="34">
        <v>100</v>
      </c>
      <c r="R45" s="7"/>
      <c r="S45" s="77"/>
      <c r="T45" s="7" t="s">
        <v>0</v>
      </c>
      <c r="U45" s="129"/>
      <c r="V45" s="131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78"/>
      <c r="AH45" s="178"/>
      <c r="AI45" s="123"/>
      <c r="AJ45" s="123"/>
      <c r="AK45" s="123"/>
      <c r="AL45" s="123"/>
    </row>
    <row r="46" spans="2:40" ht="15" x14ac:dyDescent="0.2">
      <c r="B46" s="4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108"/>
      <c r="O46" s="7"/>
      <c r="P46" s="34">
        <v>9.52</v>
      </c>
      <c r="Q46" s="34">
        <v>0</v>
      </c>
      <c r="R46" s="7"/>
      <c r="S46" s="77"/>
      <c r="T46" s="7" t="s">
        <v>0</v>
      </c>
      <c r="U46" s="129"/>
      <c r="V46" s="131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78"/>
      <c r="AH46" s="178"/>
      <c r="AI46" s="123"/>
      <c r="AJ46" s="123"/>
      <c r="AK46" s="123"/>
      <c r="AL46" s="123"/>
    </row>
    <row r="47" spans="2:40" ht="15" x14ac:dyDescent="0.2">
      <c r="B47" s="4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108"/>
      <c r="O47" s="7"/>
      <c r="P47" s="34">
        <v>4.76</v>
      </c>
      <c r="Q47" s="34">
        <v>100</v>
      </c>
      <c r="R47" s="7"/>
      <c r="S47" s="93"/>
      <c r="T47" s="77"/>
      <c r="U47" s="132"/>
      <c r="V47" s="131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78"/>
      <c r="AH47" s="178"/>
      <c r="AI47" s="123"/>
      <c r="AJ47" s="123"/>
      <c r="AK47" s="123"/>
      <c r="AL47" s="123"/>
    </row>
    <row r="48" spans="2:40" ht="15" x14ac:dyDescent="0.2">
      <c r="B48" s="4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108"/>
      <c r="O48" s="7"/>
      <c r="P48" s="34">
        <v>4.76</v>
      </c>
      <c r="Q48" s="34">
        <v>0</v>
      </c>
      <c r="R48" s="7"/>
      <c r="S48" s="77"/>
      <c r="T48" s="133"/>
      <c r="U48" s="132"/>
      <c r="V48" s="131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78"/>
      <c r="AH48" s="178"/>
      <c r="AI48" s="123"/>
      <c r="AJ48" s="123"/>
      <c r="AK48" s="123"/>
      <c r="AL48" s="123"/>
    </row>
    <row r="49" spans="2:38" ht="15" x14ac:dyDescent="0.2">
      <c r="B49" s="4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108"/>
      <c r="O49" s="7">
        <v>2</v>
      </c>
      <c r="P49" s="34">
        <v>2.38</v>
      </c>
      <c r="Q49" s="34">
        <v>100</v>
      </c>
      <c r="R49" s="7"/>
      <c r="S49" s="77"/>
      <c r="V49" s="123"/>
      <c r="W49" s="123"/>
      <c r="X49" s="98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</row>
    <row r="50" spans="2:38" ht="15" x14ac:dyDescent="0.2">
      <c r="B50" s="47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108"/>
      <c r="O50" s="7">
        <v>1.19</v>
      </c>
      <c r="P50" s="34">
        <v>2.38</v>
      </c>
      <c r="Q50" s="34">
        <v>0</v>
      </c>
      <c r="R50" s="7"/>
      <c r="S50" s="77"/>
      <c r="V50" s="128"/>
      <c r="W50" s="150"/>
      <c r="X50" s="147"/>
      <c r="Y50" s="123"/>
      <c r="Z50" s="318"/>
      <c r="AA50" s="318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</row>
    <row r="51" spans="2:38" ht="15" x14ac:dyDescent="0.2">
      <c r="B51" s="47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108"/>
      <c r="O51" s="7">
        <v>0.59499999999999997</v>
      </c>
      <c r="P51" s="34">
        <v>1.19</v>
      </c>
      <c r="Q51" s="34">
        <v>100</v>
      </c>
      <c r="R51" s="7"/>
      <c r="S51" s="77"/>
      <c r="T51" s="77"/>
      <c r="U51" s="134"/>
      <c r="V51" s="136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</row>
    <row r="52" spans="2:38" ht="15" x14ac:dyDescent="0.2">
      <c r="B52" s="47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108"/>
      <c r="O52" s="7">
        <v>0.42499999999999999</v>
      </c>
      <c r="P52" s="34">
        <v>1.19</v>
      </c>
      <c r="Q52" s="34">
        <v>0</v>
      </c>
      <c r="R52" s="7"/>
      <c r="S52" s="7"/>
      <c r="T52" s="77"/>
      <c r="U52" s="132"/>
      <c r="V52" s="136"/>
      <c r="W52" s="123"/>
      <c r="X52" s="123"/>
      <c r="Y52" s="123"/>
      <c r="Z52" s="123"/>
      <c r="AA52" s="123"/>
      <c r="AB52" s="123"/>
      <c r="AC52" s="123"/>
      <c r="AD52" s="123"/>
      <c r="AE52" s="137"/>
      <c r="AF52" s="123"/>
      <c r="AG52" s="123"/>
      <c r="AH52" s="123"/>
      <c r="AI52" s="123"/>
      <c r="AJ52" s="123"/>
      <c r="AK52" s="123"/>
      <c r="AL52" s="123"/>
    </row>
    <row r="53" spans="2:38" ht="15" x14ac:dyDescent="0.2">
      <c r="B53" s="47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108"/>
      <c r="O53" s="7">
        <v>0.29499999999999998</v>
      </c>
      <c r="P53" s="34">
        <v>0.59499999999999997</v>
      </c>
      <c r="Q53" s="34">
        <v>100</v>
      </c>
      <c r="R53" s="7"/>
      <c r="S53" s="7"/>
      <c r="T53" s="135"/>
      <c r="U53" s="135"/>
      <c r="V53" s="136"/>
      <c r="W53" s="123"/>
      <c r="X53" s="147"/>
      <c r="Y53" s="123"/>
      <c r="Z53" s="123"/>
      <c r="AA53" s="123"/>
      <c r="AB53" s="123"/>
      <c r="AC53" s="123"/>
      <c r="AD53" s="123"/>
      <c r="AE53" s="137"/>
      <c r="AF53" s="123"/>
      <c r="AG53" s="123"/>
      <c r="AH53" s="123"/>
      <c r="AI53" s="123"/>
      <c r="AJ53" s="123"/>
      <c r="AK53" s="123"/>
      <c r="AL53" s="123"/>
    </row>
    <row r="54" spans="2:38" ht="14.25" x14ac:dyDescent="0.2">
      <c r="B54" s="47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108"/>
      <c r="O54" s="7"/>
      <c r="P54" s="34">
        <v>0.59499999999999997</v>
      </c>
      <c r="Q54" s="34">
        <v>0</v>
      </c>
      <c r="R54" s="7"/>
      <c r="S54" s="7"/>
      <c r="T54" s="7"/>
      <c r="U54" s="138"/>
      <c r="V54" s="151"/>
      <c r="W54" s="123"/>
      <c r="X54" s="123"/>
      <c r="Y54" s="123"/>
      <c r="Z54" s="123"/>
      <c r="AA54" s="123"/>
      <c r="AB54" s="123"/>
      <c r="AC54" s="123"/>
      <c r="AD54" s="123"/>
      <c r="AE54" s="137"/>
      <c r="AF54" s="123"/>
      <c r="AG54" s="123"/>
      <c r="AH54" s="123"/>
      <c r="AI54" s="123"/>
      <c r="AJ54" s="123"/>
      <c r="AK54" s="123"/>
      <c r="AL54" s="123"/>
    </row>
    <row r="55" spans="2:38" ht="14.25" x14ac:dyDescent="0.2">
      <c r="B55" s="47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08"/>
      <c r="O55" s="7"/>
      <c r="P55" s="34">
        <v>0.29699999999999999</v>
      </c>
      <c r="Q55" s="34">
        <v>100</v>
      </c>
      <c r="R55" s="7"/>
      <c r="S55" s="7"/>
      <c r="T55" s="7"/>
      <c r="U55" s="138"/>
      <c r="V55" s="151"/>
      <c r="W55" s="123"/>
      <c r="X55" s="123"/>
      <c r="Y55" s="123"/>
      <c r="Z55" s="123"/>
      <c r="AA55" s="123"/>
      <c r="AB55" s="123"/>
      <c r="AC55" s="123"/>
      <c r="AD55" s="123"/>
      <c r="AE55" s="137"/>
      <c r="AF55" s="123"/>
      <c r="AG55" s="123"/>
      <c r="AH55" s="123"/>
      <c r="AI55" s="147"/>
      <c r="AJ55" s="147"/>
      <c r="AK55" s="147"/>
      <c r="AL55" s="123"/>
    </row>
    <row r="56" spans="2:38" ht="14.25" x14ac:dyDescent="0.2">
      <c r="B56" s="47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108"/>
      <c r="O56" s="7"/>
      <c r="P56" s="34">
        <v>0.29699999999999999</v>
      </c>
      <c r="Q56" s="34">
        <v>0</v>
      </c>
      <c r="R56" s="7"/>
      <c r="S56" s="7"/>
      <c r="T56" s="7"/>
      <c r="U56" s="138"/>
      <c r="V56" s="151"/>
      <c r="W56" s="123"/>
      <c r="X56" s="123"/>
      <c r="Y56" s="123"/>
      <c r="Z56" s="123"/>
      <c r="AA56" s="123"/>
      <c r="AB56" s="123"/>
      <c r="AC56" s="123"/>
      <c r="AD56" s="123"/>
      <c r="AE56" s="137"/>
      <c r="AF56" s="123"/>
      <c r="AG56" s="123"/>
      <c r="AH56" s="123"/>
      <c r="AI56" s="123"/>
      <c r="AJ56" s="123"/>
      <c r="AK56" s="123"/>
      <c r="AL56" s="123"/>
    </row>
    <row r="57" spans="2:38" ht="14.25" x14ac:dyDescent="0.2">
      <c r="B57" s="47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108"/>
      <c r="O57" s="7"/>
      <c r="P57" s="140">
        <v>0.14899999999999999</v>
      </c>
      <c r="Q57" s="34">
        <v>100</v>
      </c>
      <c r="R57" s="7"/>
      <c r="S57" s="7"/>
      <c r="T57" s="7"/>
      <c r="U57" s="138"/>
      <c r="V57" s="151"/>
      <c r="W57" s="123"/>
      <c r="X57" s="123"/>
      <c r="Y57" s="123"/>
      <c r="Z57" s="123"/>
      <c r="AA57" s="123"/>
      <c r="AB57" s="123"/>
      <c r="AC57" s="123"/>
      <c r="AD57" s="123"/>
      <c r="AE57" s="137"/>
      <c r="AF57" s="123"/>
      <c r="AG57" s="123"/>
      <c r="AH57" s="123"/>
      <c r="AI57" s="123"/>
      <c r="AJ57" s="123"/>
      <c r="AK57" s="123"/>
      <c r="AL57" s="123"/>
    </row>
    <row r="58" spans="2:38" ht="15" thickBot="1" x14ac:dyDescent="0.25">
      <c r="B58" s="47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108"/>
      <c r="O58" s="7"/>
      <c r="P58" s="34">
        <v>0.14899999999999999</v>
      </c>
      <c r="Q58" s="34">
        <v>0</v>
      </c>
      <c r="R58" s="7"/>
      <c r="S58" s="7"/>
      <c r="T58" s="7"/>
      <c r="U58" s="138"/>
      <c r="V58" s="151"/>
      <c r="W58" s="123"/>
      <c r="X58" s="123"/>
      <c r="Y58" s="123"/>
      <c r="Z58" s="123"/>
      <c r="AA58" s="123"/>
      <c r="AB58" s="123"/>
      <c r="AC58" s="123"/>
      <c r="AD58" s="123"/>
      <c r="AE58" s="137"/>
      <c r="AF58" s="123"/>
      <c r="AG58" s="123"/>
      <c r="AH58" s="147"/>
      <c r="AI58" s="123"/>
      <c r="AJ58" s="123"/>
      <c r="AK58" s="123"/>
      <c r="AL58" s="123"/>
    </row>
    <row r="59" spans="2:38" ht="14.45" customHeight="1" thickBot="1" x14ac:dyDescent="0.25">
      <c r="B59" s="410" t="s">
        <v>92</v>
      </c>
      <c r="C59" s="411"/>
      <c r="D59" s="411"/>
      <c r="E59" s="411"/>
      <c r="F59" s="411"/>
      <c r="G59" s="411"/>
      <c r="H59" s="412"/>
      <c r="I59" s="413" t="s">
        <v>93</v>
      </c>
      <c r="J59" s="411"/>
      <c r="K59" s="411"/>
      <c r="L59" s="411"/>
      <c r="M59" s="411"/>
      <c r="N59" s="414"/>
      <c r="O59" s="7"/>
      <c r="P59" s="34">
        <v>6.38</v>
      </c>
      <c r="Q59" s="34">
        <v>100</v>
      </c>
      <c r="R59" s="7"/>
      <c r="S59" s="7"/>
      <c r="T59" s="7"/>
      <c r="U59" s="141"/>
      <c r="V59" s="139"/>
      <c r="AE59" s="142"/>
    </row>
    <row r="60" spans="2:38" ht="14.25" x14ac:dyDescent="0.2">
      <c r="B60" s="415" t="s">
        <v>94</v>
      </c>
      <c r="C60" s="416"/>
      <c r="D60" s="416"/>
      <c r="E60" s="416"/>
      <c r="F60" s="416"/>
      <c r="G60" s="416"/>
      <c r="H60" s="417"/>
      <c r="I60" s="556" t="s">
        <v>95</v>
      </c>
      <c r="J60" s="416"/>
      <c r="K60" s="416"/>
      <c r="L60" s="416"/>
      <c r="M60" s="416"/>
      <c r="N60" s="557"/>
      <c r="O60" s="7"/>
      <c r="P60" s="34">
        <v>6.38</v>
      </c>
      <c r="Q60" s="34">
        <v>0</v>
      </c>
      <c r="R60" s="7"/>
      <c r="S60" s="7"/>
      <c r="T60" s="7"/>
      <c r="U60" s="7"/>
      <c r="V60" s="8"/>
      <c r="AE60" s="142"/>
    </row>
    <row r="61" spans="2:38" ht="13.5" thickBot="1" x14ac:dyDescent="0.25">
      <c r="B61" s="418"/>
      <c r="C61" s="419"/>
      <c r="D61" s="419"/>
      <c r="E61" s="419"/>
      <c r="F61" s="419"/>
      <c r="G61" s="419"/>
      <c r="H61" s="420"/>
      <c r="I61" s="558"/>
      <c r="J61" s="419"/>
      <c r="K61" s="419"/>
      <c r="L61" s="419"/>
      <c r="M61" s="419"/>
      <c r="N61" s="423"/>
      <c r="O61" s="7"/>
      <c r="P61" s="7"/>
      <c r="Q61" s="7"/>
      <c r="R61" s="7"/>
      <c r="S61" s="7"/>
      <c r="T61" s="7"/>
      <c r="U61" s="7"/>
      <c r="V61" s="8"/>
      <c r="Z61" s="2"/>
      <c r="AA61" s="308"/>
      <c r="AB61" s="308"/>
      <c r="AE61" s="142"/>
    </row>
    <row r="62" spans="2:38" ht="13.5" thickTop="1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AE62" s="142"/>
    </row>
    <row r="65" spans="12:18" x14ac:dyDescent="0.2">
      <c r="L65" s="1" t="s">
        <v>97</v>
      </c>
    </row>
    <row r="70" spans="12:18" x14ac:dyDescent="0.2">
      <c r="P70" s="46"/>
      <c r="Q70" s="46"/>
      <c r="R70" s="46"/>
    </row>
  </sheetData>
  <mergeCells count="67">
    <mergeCell ref="B59:H59"/>
    <mergeCell ref="I59:N59"/>
    <mergeCell ref="B60:H61"/>
    <mergeCell ref="I60:N61"/>
    <mergeCell ref="AA61:AB61"/>
    <mergeCell ref="AE38:AF38"/>
    <mergeCell ref="AG38:AH38"/>
    <mergeCell ref="AI38:AJ38"/>
    <mergeCell ref="AC39:AD39"/>
    <mergeCell ref="Z50:AA50"/>
    <mergeCell ref="V40:W40"/>
    <mergeCell ref="AA40:AB40"/>
    <mergeCell ref="X31:Y31"/>
    <mergeCell ref="C32:E32"/>
    <mergeCell ref="X32:Y32"/>
    <mergeCell ref="C33:E33"/>
    <mergeCell ref="X37:Y37"/>
    <mergeCell ref="AK36:AL36"/>
    <mergeCell ref="AM36:AN36"/>
    <mergeCell ref="O27:P27"/>
    <mergeCell ref="C28:D28"/>
    <mergeCell ref="O28:P28"/>
    <mergeCell ref="C29:G29"/>
    <mergeCell ref="C30:E30"/>
    <mergeCell ref="C31:E31"/>
    <mergeCell ref="I22:J22"/>
    <mergeCell ref="I23:J23"/>
    <mergeCell ref="I24:J24"/>
    <mergeCell ref="AE24:AF24"/>
    <mergeCell ref="I25:J25"/>
    <mergeCell ref="O25:P25"/>
    <mergeCell ref="I21:J21"/>
    <mergeCell ref="L11:L12"/>
    <mergeCell ref="M11:M12"/>
    <mergeCell ref="I13:J13"/>
    <mergeCell ref="I14:J14"/>
    <mergeCell ref="I15:J15"/>
    <mergeCell ref="I16:J16"/>
    <mergeCell ref="I17:J17"/>
    <mergeCell ref="I18:J18"/>
    <mergeCell ref="I19:L19"/>
    <mergeCell ref="M19:M20"/>
    <mergeCell ref="I20:J20"/>
    <mergeCell ref="E6:N6"/>
    <mergeCell ref="O6:P6"/>
    <mergeCell ref="B7:N8"/>
    <mergeCell ref="I10:M10"/>
    <mergeCell ref="C11:D11"/>
    <mergeCell ref="E11:E12"/>
    <mergeCell ref="F11:F12"/>
    <mergeCell ref="G11:G12"/>
    <mergeCell ref="I11:J12"/>
    <mergeCell ref="K11:K12"/>
    <mergeCell ref="O4:P4"/>
    <mergeCell ref="Q4:S4"/>
    <mergeCell ref="B5:D5"/>
    <mergeCell ref="E5:J5"/>
    <mergeCell ref="M5:N5"/>
    <mergeCell ref="O5:P5"/>
    <mergeCell ref="B2:E4"/>
    <mergeCell ref="F2:G3"/>
    <mergeCell ref="H2:J3"/>
    <mergeCell ref="L2:N2"/>
    <mergeCell ref="L3:N3"/>
    <mergeCell ref="F4:J4"/>
    <mergeCell ref="K4:L4"/>
    <mergeCell ref="M4:N4"/>
  </mergeCells>
  <conditionalFormatting sqref="F30:F31">
    <cfRule type="cellIs" priority="2" stopIfTrue="1" operator="equal">
      <formula>"v16"</formula>
    </cfRule>
  </conditionalFormatting>
  <conditionalFormatting sqref="M22:M24">
    <cfRule type="cellIs" dxfId="2" priority="3" stopIfTrue="1" operator="equal">
      <formula>""""""</formula>
    </cfRule>
  </conditionalFormatting>
  <conditionalFormatting sqref="K18:M18 K23:K25 L25:M25">
    <cfRule type="cellIs" dxfId="1" priority="4" stopIfTrue="1" operator="equal">
      <formula>0</formula>
    </cfRule>
  </conditionalFormatting>
  <conditionalFormatting sqref="K21:M21">
    <cfRule type="cellIs" priority="5" stopIfTrue="1" operator="equal">
      <formula>0</formula>
    </cfRule>
  </conditionalFormatting>
  <conditionalFormatting sqref="L22:L24">
    <cfRule type="cellIs" dxfId="0" priority="1" stopIfTrue="1" operator="equal">
      <formula>""""""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Clasificacion</vt:lpstr>
      <vt:lpstr>LA TAPA</vt:lpstr>
      <vt:lpstr>CLAVELLINO</vt:lpstr>
      <vt:lpstr>COCOARENAL</vt:lpstr>
      <vt:lpstr>Hoja13</vt:lpstr>
      <vt:lpstr>Hoja1</vt:lpstr>
      <vt:lpstr>Clasificacion!Área_de_impresión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Paola Andrea Garcia Tangarife</cp:lastModifiedBy>
  <cp:lastPrinted>2025-11-06T14:38:33Z</cp:lastPrinted>
  <dcterms:created xsi:type="dcterms:W3CDTF">2015-12-14T20:24:53Z</dcterms:created>
  <dcterms:modified xsi:type="dcterms:W3CDTF">2026-05-22T15:42:39Z</dcterms:modified>
</cp:coreProperties>
</file>