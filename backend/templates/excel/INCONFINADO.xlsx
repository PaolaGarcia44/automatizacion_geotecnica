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0DFAC5B2-8F94-4CC4-8B8D-CD85EAF240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3." sheetId="5" r:id="rId1"/>
    <sheet name="copia" sheetId="6" r:id="rId2"/>
  </sheets>
  <definedNames>
    <definedName name="_xlnm.Print_Area" localSheetId="0">'3.'!$B$1:$J$47</definedName>
    <definedName name="_xlnm.Print_Area" localSheetId="1">copia!$A$1:$I$47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0" i="6" l="1"/>
  <c r="O30" i="6"/>
  <c r="Q29" i="6"/>
  <c r="O29" i="6"/>
  <c r="Q28" i="6"/>
  <c r="O28" i="6"/>
  <c r="Q27" i="6"/>
  <c r="O27" i="6"/>
  <c r="B27" i="6"/>
  <c r="Q26" i="6"/>
  <c r="O26" i="6"/>
  <c r="Q25" i="6"/>
  <c r="O25" i="6"/>
  <c r="G24" i="6"/>
  <c r="G23" i="6"/>
  <c r="O23" i="6" s="1"/>
  <c r="G22" i="6"/>
  <c r="O22" i="6" s="1"/>
  <c r="G21" i="6"/>
  <c r="O21" i="6" s="1"/>
  <c r="B21" i="6"/>
  <c r="H18" i="6" s="1"/>
  <c r="I18" i="6" s="1"/>
  <c r="Q18" i="6" s="1"/>
  <c r="G20" i="6"/>
  <c r="O20" i="6" s="1"/>
  <c r="G19" i="6"/>
  <c r="O19" i="6" s="1"/>
  <c r="G18" i="6"/>
  <c r="O18" i="6" s="1"/>
  <c r="G17" i="6"/>
  <c r="O17" i="6" s="1"/>
  <c r="C17" i="6"/>
  <c r="B17" i="6"/>
  <c r="G16" i="6"/>
  <c r="O16" i="6" s="1"/>
  <c r="G15" i="6"/>
  <c r="O15" i="6" s="1"/>
  <c r="R25" i="5"/>
  <c r="R26" i="5"/>
  <c r="R27" i="5"/>
  <c r="R28" i="5"/>
  <c r="R29" i="5"/>
  <c r="R30" i="5"/>
  <c r="P25" i="5"/>
  <c r="P26" i="5"/>
  <c r="P27" i="5"/>
  <c r="P28" i="5"/>
  <c r="P29" i="5"/>
  <c r="P30" i="5"/>
  <c r="H16" i="5"/>
  <c r="P16" i="5" s="1"/>
  <c r="H17" i="5"/>
  <c r="P17" i="5" s="1"/>
  <c r="H18" i="5"/>
  <c r="P18" i="5" s="1"/>
  <c r="H19" i="5"/>
  <c r="P19" i="5" s="1"/>
  <c r="H20" i="5"/>
  <c r="P20" i="5" s="1"/>
  <c r="H21" i="5"/>
  <c r="P21" i="5" s="1"/>
  <c r="H22" i="5"/>
  <c r="P22" i="5" s="1"/>
  <c r="P23" i="5"/>
  <c r="P24" i="5"/>
  <c r="H15" i="5"/>
  <c r="P15" i="5" s="1"/>
  <c r="C26" i="5"/>
  <c r="C20" i="5"/>
  <c r="C16" i="5"/>
  <c r="I21" i="5" l="1"/>
  <c r="J21" i="5" s="1"/>
  <c r="R21" i="5" s="1"/>
  <c r="C22" i="5"/>
  <c r="C24" i="5" s="1"/>
  <c r="I18" i="5"/>
  <c r="J18" i="5" s="1"/>
  <c r="R18" i="5" s="1"/>
  <c r="B18" i="6"/>
  <c r="B31" i="6" s="1"/>
  <c r="H24" i="6"/>
  <c r="I24" i="6" s="1"/>
  <c r="Q24" i="6" s="1"/>
  <c r="I15" i="5"/>
  <c r="J15" i="5" s="1"/>
  <c r="R24" i="5"/>
  <c r="I16" i="5"/>
  <c r="J16" i="5" s="1"/>
  <c r="R16" i="5" s="1"/>
  <c r="H21" i="6"/>
  <c r="I21" i="6" s="1"/>
  <c r="Q21" i="6" s="1"/>
  <c r="R23" i="5"/>
  <c r="B23" i="6"/>
  <c r="B25" i="6" s="1"/>
  <c r="B32" i="6" s="1"/>
  <c r="I20" i="5"/>
  <c r="J20" i="5" s="1"/>
  <c r="R20" i="5" s="1"/>
  <c r="I22" i="5"/>
  <c r="J22" i="5" s="1"/>
  <c r="R22" i="5" s="1"/>
  <c r="I19" i="5"/>
  <c r="J19" i="5" s="1"/>
  <c r="R19" i="5" s="1"/>
  <c r="I17" i="5"/>
  <c r="J17" i="5" s="1"/>
  <c r="R17" i="5" s="1"/>
  <c r="H23" i="6"/>
  <c r="I23" i="6" s="1"/>
  <c r="Q23" i="6" s="1"/>
  <c r="B26" i="6"/>
  <c r="B33" i="6" s="1"/>
  <c r="H19" i="6"/>
  <c r="I19" i="6" s="1"/>
  <c r="Q19" i="6" s="1"/>
  <c r="H15" i="6"/>
  <c r="I15" i="6" s="1"/>
  <c r="Q15" i="6" s="1"/>
  <c r="H17" i="6"/>
  <c r="I17" i="6" s="1"/>
  <c r="Q17" i="6" s="1"/>
  <c r="H22" i="6"/>
  <c r="I22" i="6" s="1"/>
  <c r="Q22" i="6" s="1"/>
  <c r="H20" i="6"/>
  <c r="I20" i="6" s="1"/>
  <c r="Q20" i="6" s="1"/>
  <c r="O24" i="6"/>
  <c r="H16" i="6"/>
  <c r="I16" i="6" s="1"/>
  <c r="Q16" i="6" s="1"/>
  <c r="D16" i="5"/>
  <c r="C33" i="5" l="1"/>
  <c r="R15" i="5"/>
  <c r="C31" i="5"/>
  <c r="C17" i="5"/>
  <c r="C30" i="5" s="1"/>
  <c r="C25" i="5" l="1"/>
  <c r="C32" i="5" s="1"/>
</calcChain>
</file>

<file path=xl/sharedStrings.xml><?xml version="1.0" encoding="utf-8"?>
<sst xmlns="http://schemas.openxmlformats.org/spreadsheetml/2006/main" count="92" uniqueCount="54">
  <si>
    <t>ENSAYO DE COMPRESIÓN INCONFINADA, PESO UNITARIO Y HUMEDAD NATURAL</t>
  </si>
  <si>
    <t>IL</t>
  </si>
  <si>
    <t>PROYECTO:</t>
  </si>
  <si>
    <t>MUESTRA</t>
  </si>
  <si>
    <t>N.A</t>
  </si>
  <si>
    <t>LOCALIZACIÓN:</t>
  </si>
  <si>
    <t>INV-152</t>
  </si>
  <si>
    <t>Tara Número</t>
  </si>
  <si>
    <t>Extens. de deformac. (0.001 pg)</t>
  </si>
  <si>
    <t>Deformac. unitaria (%)</t>
  </si>
  <si>
    <t>Peso Suelo Húmedo + Tara (gr)</t>
  </si>
  <si>
    <t>Peso Suelo Seco + Tara (gr)</t>
  </si>
  <si>
    <t>Peso Tara (gr)</t>
  </si>
  <si>
    <t>Humedad %</t>
  </si>
  <si>
    <t>Humedad Promedia  %</t>
  </si>
  <si>
    <t>Diámetro de la Muestra (cm)</t>
  </si>
  <si>
    <t>Altura de la Muestra  (cm)</t>
  </si>
  <si>
    <t>Peso de la Muestra Húmeda (gr)</t>
  </si>
  <si>
    <t>Relación Altura / Diámetro</t>
  </si>
  <si>
    <t>Factor de Corrección</t>
  </si>
  <si>
    <t>RESUMEN DE LOS RESULTADOS</t>
  </si>
  <si>
    <t>Humedad  (%)</t>
  </si>
  <si>
    <t>CLIENTE:</t>
  </si>
  <si>
    <t>GRIETAS VERTICALES</t>
  </si>
  <si>
    <r>
      <t>Área de la Muestra  (cm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</si>
  <si>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Volumen de la Muestra (cm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</si>
  <si>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r>
      <t>Resistencia a la Comp. Simple (Kg/cm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</si>
  <si>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CARLOS YEPES</t>
  </si>
  <si>
    <t>PARCELACIÓN ALMAGUERA</t>
  </si>
  <si>
    <t>MUNICIPIO DE RIONEGRO</t>
  </si>
  <si>
    <t>CONTENIDO DE HUMEDAD NATURAL (w %)</t>
  </si>
  <si>
    <r>
      <rPr>
        <sz val="10"/>
        <rFont val="Arial"/>
        <family val="2"/>
      </rPr>
      <t>PESO UNITARIO HUMEDO</t>
    </r>
    <r>
      <rPr>
        <sz val="10"/>
        <rFont val="Times New Roman"/>
        <family val="1"/>
      </rPr>
      <t xml:space="preserve"> </t>
    </r>
    <r>
      <rPr>
        <sz val="16"/>
        <rFont val="Times New Roman"/>
        <family val="1"/>
      </rPr>
      <t>(</t>
    </r>
    <r>
      <rPr>
        <sz val="18"/>
        <rFont val="Times New Roman"/>
        <family val="1"/>
      </rPr>
      <t>ɤ</t>
    </r>
    <r>
      <rPr>
        <sz val="10"/>
        <rFont val="Arial"/>
        <family val="2"/>
      </rPr>
      <t>h</t>
    </r>
    <r>
      <rPr>
        <sz val="10"/>
        <rFont val="Times New Roman"/>
        <family val="1"/>
      </rPr>
      <t>) Y SECO (</t>
    </r>
    <r>
      <rPr>
        <sz val="18"/>
        <rFont val="Times New Roman"/>
        <family val="1"/>
      </rPr>
      <t>ɤ</t>
    </r>
    <r>
      <rPr>
        <sz val="10"/>
        <rFont val="Arial"/>
        <family val="2"/>
      </rPr>
      <t>d</t>
    </r>
    <r>
      <rPr>
        <sz val="10"/>
        <rFont val="Times New Roman"/>
        <family val="1"/>
      </rPr>
      <t>)</t>
    </r>
  </si>
  <si>
    <t>DESCRIPCIÓN DE LA MUESTRA:</t>
  </si>
  <si>
    <t>LIMO-ARENOSO CAFÉ AMARILLENTO</t>
  </si>
  <si>
    <t>DATOS DEL ENSAYO</t>
  </si>
  <si>
    <t>P-</t>
  </si>
  <si>
    <t>CONDICIÓN DE FALLA:</t>
  </si>
  <si>
    <r>
      <t>Peso Unitario del Suelo Húmedo,</t>
    </r>
    <r>
      <rPr>
        <sz val="16"/>
        <rFont val="Arial"/>
        <family val="2"/>
      </rPr>
      <t xml:space="preserve"> ɤ</t>
    </r>
    <r>
      <rPr>
        <sz val="9"/>
        <rFont val="Arial"/>
        <family val="2"/>
      </rPr>
      <t>h (g/cm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</si>
  <si>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r>
      <t xml:space="preserve">Peso Unitario del Suelo Seco, </t>
    </r>
    <r>
      <rPr>
        <sz val="16"/>
        <rFont val="Arial"/>
        <family val="2"/>
      </rPr>
      <t>ɤ</t>
    </r>
    <r>
      <rPr>
        <sz val="9"/>
        <rFont val="Arial"/>
        <family val="2"/>
      </rPr>
      <t>d (g/cm3)</t>
    </r>
  </si>
  <si>
    <t>Peso Unitario del Suelo Húmedo, ɤh (g/cm3)</t>
  </si>
  <si>
    <t>Peso Unitario del Suelo Seco, ɤd (g/cm3)</t>
  </si>
  <si>
    <r>
      <t>Área Corregida (cm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)</t>
    </r>
  </si>
  <si>
    <r>
      <t>Esfuerzo Unitario (kg/cm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)</t>
    </r>
  </si>
  <si>
    <t>Carga (N)</t>
  </si>
  <si>
    <t>EM GEOTECNIA</t>
  </si>
  <si>
    <t>P-1</t>
  </si>
  <si>
    <t xml:space="preserve">CARRERA 33 No 32- 53 </t>
  </si>
  <si>
    <t>WILLIAM GIRALDO</t>
  </si>
  <si>
    <t>MUNICIPIO DE MARINILLA</t>
  </si>
  <si>
    <t>LIMO ARENOSO ROJIZO</t>
  </si>
  <si>
    <t>AMM</t>
  </si>
  <si>
    <t>EMM</t>
  </si>
  <si>
    <t>MUESTRA FALLADA</t>
  </si>
  <si>
    <r>
      <rPr>
        <b/>
        <sz val="10"/>
        <rFont val="Arial"/>
        <family val="2"/>
      </rPr>
      <t>PESO UNITARIO HUMEDO</t>
    </r>
    <r>
      <rPr>
        <b/>
        <sz val="10"/>
        <rFont val="Times New Roman"/>
        <family val="1"/>
      </rPr>
      <t xml:space="preserve"> </t>
    </r>
    <r>
      <rPr>
        <b/>
        <sz val="16"/>
        <rFont val="Times New Roman"/>
        <family val="1"/>
      </rPr>
      <t>(</t>
    </r>
    <r>
      <rPr>
        <b/>
        <sz val="18"/>
        <rFont val="Times New Roman"/>
        <family val="1"/>
      </rPr>
      <t>ɤ</t>
    </r>
    <r>
      <rPr>
        <b/>
        <sz val="10"/>
        <rFont val="Arial"/>
        <family val="2"/>
      </rPr>
      <t>h</t>
    </r>
    <r>
      <rPr>
        <b/>
        <sz val="10"/>
        <rFont val="Times New Roman"/>
        <family val="1"/>
      </rPr>
      <t>) Y SECO (</t>
    </r>
    <r>
      <rPr>
        <b/>
        <sz val="18"/>
        <rFont val="Times New Roman"/>
        <family val="1"/>
      </rPr>
      <t>ɤ</t>
    </r>
    <r>
      <rPr>
        <b/>
        <sz val="10"/>
        <rFont val="Arial"/>
        <family val="2"/>
      </rPr>
      <t>d</t>
    </r>
    <r>
      <rPr>
        <b/>
        <sz val="1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</si>
</sst>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000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sz val="16"/>
      <name val="Times New Roman"/>
      <family val="1"/>
    </font>
    <font>
      <sz val="18"/>
      <name val="Times New Roman"/>
      <family val="1"/>
    </font>
    <font>
      <sz val="10"/>
      <name val="Times New Roman"/>
      <family val="2"/>
    </font>
    <font>
      <sz val="16"/>
      <name val="Arial"/>
      <family val="2"/>
    </font>
    <font>
      <vertAlign val="superscript"/>
      <sz val="9"/>
      <name val="Arial"/>
      <family val="2"/>
    </font>
    <font>
      <sz val="11"/>
      <color indexed="8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0"/>
      <name val="Times New Roman"/>
      <family val="2"/>
    </font>
    <font>
      <b/>
      <sz val="1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6" fillId="0" borderId="0"/>
    <xf numFmtId="0" fontId="6" fillId="0" borderId="0"/>
    <xf numFmtId="0" fontId="7" fillId="0" borderId="0"/>
    <xf numFmtId="0" fontId="1" fillId="0" borderId="0"/>
    <xf numFmtId="0" fontId="7" fillId="0" borderId="0"/>
  </cellStyleXfs>
  <cellXfs count="156">
    <xf numFmtId="0" fontId="0" fillId="0" borderId="0" xfId="0"/>
    <xf numFmtId="0" fontId="2" fillId="0" borderId="0" xfId="4" applyFont="1"/>
    <xf numFmtId="0" fontId="2" fillId="0" borderId="12" xfId="4" applyFont="1" applyBorder="1"/>
    <xf numFmtId="0" fontId="2" fillId="0" borderId="7" xfId="4" applyFont="1" applyBorder="1"/>
    <xf numFmtId="0" fontId="4" fillId="0" borderId="13" xfId="4" applyFont="1" applyBorder="1" applyAlignment="1">
      <alignment vertical="center"/>
    </xf>
    <xf numFmtId="0" fontId="4" fillId="0" borderId="0" xfId="4" applyFont="1"/>
    <xf numFmtId="0" fontId="2" fillId="0" borderId="14" xfId="4" applyFont="1" applyBorder="1"/>
    <xf numFmtId="0" fontId="2" fillId="0" borderId="10" xfId="4" applyFont="1" applyBorder="1"/>
    <xf numFmtId="0" fontId="2" fillId="0" borderId="0" xfId="4" applyFont="1" applyAlignment="1">
      <alignment vertical="center"/>
    </xf>
    <xf numFmtId="0" fontId="2" fillId="0" borderId="17" xfId="4" applyFont="1" applyBorder="1" applyAlignment="1">
      <alignment horizontal="center" vertical="center"/>
    </xf>
    <xf numFmtId="164" fontId="2" fillId="0" borderId="17" xfId="4" applyNumberFormat="1" applyFont="1" applyBorder="1" applyAlignment="1">
      <alignment horizontal="center" vertical="center"/>
    </xf>
    <xf numFmtId="2" fontId="2" fillId="0" borderId="17" xfId="4" applyNumberFormat="1" applyFont="1" applyBorder="1" applyAlignment="1">
      <alignment horizontal="center" vertical="center"/>
    </xf>
    <xf numFmtId="2" fontId="2" fillId="0" borderId="16" xfId="4" applyNumberFormat="1" applyFont="1" applyBorder="1" applyAlignment="1">
      <alignment horizontal="center" vertical="center"/>
    </xf>
    <xf numFmtId="2" fontId="2" fillId="0" borderId="17" xfId="4" applyNumberFormat="1" applyFont="1" applyBorder="1" applyAlignment="1">
      <alignment horizontal="center"/>
    </xf>
    <xf numFmtId="166" fontId="2" fillId="0" borderId="12" xfId="4" applyNumberFormat="1" applyFont="1" applyBorder="1" applyAlignment="1">
      <alignment horizontal="center"/>
    </xf>
    <xf numFmtId="166" fontId="2" fillId="0" borderId="0" xfId="4" applyNumberFormat="1" applyFont="1" applyAlignment="1">
      <alignment horizontal="center"/>
    </xf>
    <xf numFmtId="166" fontId="2" fillId="0" borderId="7" xfId="4" applyNumberFormat="1" applyFont="1" applyBorder="1" applyAlignment="1">
      <alignment horizontal="center"/>
    </xf>
    <xf numFmtId="0" fontId="2" fillId="4" borderId="0" xfId="4" applyFont="1" applyFill="1"/>
    <xf numFmtId="0" fontId="2" fillId="0" borderId="12" xfId="4" applyFont="1" applyBorder="1" applyAlignment="1">
      <alignment horizontal="center"/>
    </xf>
    <xf numFmtId="0" fontId="2" fillId="0" borderId="25" xfId="4" applyFont="1" applyBorder="1"/>
    <xf numFmtId="0" fontId="2" fillId="0" borderId="26" xfId="4" applyFont="1" applyBorder="1"/>
    <xf numFmtId="0" fontId="2" fillId="0" borderId="27" xfId="4" applyFont="1" applyBorder="1"/>
    <xf numFmtId="2" fontId="2" fillId="0" borderId="24" xfId="4" applyNumberFormat="1" applyFont="1" applyBorder="1" applyAlignment="1">
      <alignment horizontal="center"/>
    </xf>
    <xf numFmtId="0" fontId="1" fillId="0" borderId="12" xfId="4" applyFont="1" applyBorder="1"/>
    <xf numFmtId="0" fontId="1" fillId="0" borderId="0" xfId="4" applyFont="1"/>
    <xf numFmtId="0" fontId="1" fillId="0" borderId="7" xfId="4" applyFont="1" applyBorder="1"/>
    <xf numFmtId="0" fontId="8" fillId="0" borderId="13" xfId="4" applyFont="1" applyBorder="1" applyAlignment="1">
      <alignment vertical="center"/>
    </xf>
    <xf numFmtId="0" fontId="8" fillId="0" borderId="14" xfId="4" applyFont="1" applyBorder="1"/>
    <xf numFmtId="0" fontId="10" fillId="0" borderId="16" xfId="4" applyFont="1" applyBorder="1" applyAlignment="1">
      <alignment horizontal="center" vertical="top"/>
    </xf>
    <xf numFmtId="0" fontId="8" fillId="0" borderId="14" xfId="4" applyFont="1" applyBorder="1" applyAlignment="1">
      <alignment horizontal="center"/>
    </xf>
    <xf numFmtId="0" fontId="1" fillId="0" borderId="14" xfId="4" applyFont="1" applyBorder="1"/>
    <xf numFmtId="0" fontId="8" fillId="0" borderId="18" xfId="4" applyFont="1" applyBorder="1" applyAlignment="1">
      <alignment vertical="center"/>
    </xf>
    <xf numFmtId="0" fontId="1" fillId="0" borderId="20" xfId="4" applyFont="1" applyBorder="1" applyAlignment="1">
      <alignment vertical="center"/>
    </xf>
    <xf numFmtId="0" fontId="1" fillId="0" borderId="17" xfId="4" applyFont="1" applyFill="1" applyBorder="1" applyAlignment="1">
      <alignment horizontal="center" vertical="center"/>
    </xf>
    <xf numFmtId="0" fontId="1" fillId="0" borderId="0" xfId="4" applyFont="1" applyAlignment="1">
      <alignment vertical="center"/>
    </xf>
    <xf numFmtId="164" fontId="1" fillId="0" borderId="17" xfId="4" applyNumberFormat="1" applyFont="1" applyBorder="1" applyAlignment="1">
      <alignment horizontal="center" vertical="center"/>
    </xf>
    <xf numFmtId="0" fontId="1" fillId="0" borderId="17" xfId="4" applyFont="1" applyBorder="1" applyAlignment="1">
      <alignment horizontal="center" vertical="center"/>
    </xf>
    <xf numFmtId="2" fontId="1" fillId="0" borderId="17" xfId="4" applyNumberFormat="1" applyFont="1" applyBorder="1" applyAlignment="1">
      <alignment horizontal="center" vertical="center"/>
    </xf>
    <xf numFmtId="2" fontId="1" fillId="0" borderId="16" xfId="4" applyNumberFormat="1" applyFont="1" applyBorder="1" applyAlignment="1">
      <alignment horizontal="center" vertical="center"/>
    </xf>
    <xf numFmtId="164" fontId="1" fillId="0" borderId="17" xfId="5" applyNumberFormat="1" applyFont="1" applyFill="1" applyBorder="1" applyAlignment="1">
      <alignment horizontal="center" vertical="center"/>
    </xf>
    <xf numFmtId="166" fontId="1" fillId="0" borderId="22" xfId="4" applyNumberFormat="1" applyFont="1" applyBorder="1" applyAlignment="1">
      <alignment horizontal="left" vertical="center"/>
    </xf>
    <xf numFmtId="0" fontId="11" fillId="0" borderId="17" xfId="4" applyFont="1" applyBorder="1" applyAlignment="1">
      <alignment horizontal="left" vertical="center"/>
    </xf>
    <xf numFmtId="166" fontId="2" fillId="0" borderId="28" xfId="4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0" fontId="2" fillId="0" borderId="0" xfId="4" applyFont="1" applyBorder="1"/>
    <xf numFmtId="166" fontId="5" fillId="0" borderId="0" xfId="4" applyNumberFormat="1" applyFont="1" applyBorder="1" applyAlignment="1"/>
    <xf numFmtId="0" fontId="2" fillId="0" borderId="28" xfId="4" applyFont="1" applyBorder="1"/>
    <xf numFmtId="0" fontId="2" fillId="0" borderId="30" xfId="4" applyFont="1" applyBorder="1"/>
    <xf numFmtId="166" fontId="2" fillId="0" borderId="29" xfId="4" applyNumberFormat="1" applyFont="1" applyBorder="1" applyAlignment="1">
      <alignment horizontal="left" vertical="center"/>
    </xf>
    <xf numFmtId="0" fontId="8" fillId="7" borderId="13" xfId="4" applyFont="1" applyFill="1" applyBorder="1" applyAlignment="1">
      <alignment vertical="center"/>
    </xf>
    <xf numFmtId="0" fontId="11" fillId="7" borderId="17" xfId="4" applyFont="1" applyFill="1" applyBorder="1" applyAlignment="1">
      <alignment horizontal="left" vertical="center"/>
    </xf>
    <xf numFmtId="166" fontId="1" fillId="7" borderId="22" xfId="4" applyNumberFormat="1" applyFont="1" applyFill="1" applyBorder="1" applyAlignment="1">
      <alignment horizontal="left" vertical="center"/>
    </xf>
    <xf numFmtId="0" fontId="1" fillId="8" borderId="17" xfId="4" applyFont="1" applyFill="1" applyBorder="1" applyAlignment="1">
      <alignment horizontal="center" vertical="center"/>
    </xf>
    <xf numFmtId="165" fontId="1" fillId="0" borderId="17" xfId="4" applyNumberFormat="1" applyFont="1" applyBorder="1" applyAlignment="1">
      <alignment horizontal="center"/>
    </xf>
    <xf numFmtId="164" fontId="1" fillId="0" borderId="17" xfId="4" applyNumberFormat="1" applyFont="1" applyBorder="1" applyAlignment="1">
      <alignment horizontal="center"/>
    </xf>
    <xf numFmtId="164" fontId="1" fillId="0" borderId="23" xfId="5" applyNumberFormat="1" applyFont="1" applyFill="1" applyBorder="1" applyAlignment="1">
      <alignment horizontal="center" vertical="center"/>
    </xf>
    <xf numFmtId="164" fontId="1" fillId="0" borderId="15" xfId="5" applyNumberFormat="1" applyFont="1" applyFill="1" applyBorder="1" applyAlignment="1">
      <alignment horizontal="center" vertical="center"/>
    </xf>
    <xf numFmtId="2" fontId="1" fillId="0" borderId="23" xfId="4" applyNumberFormat="1" applyFont="1" applyBorder="1" applyAlignment="1">
      <alignment horizontal="center" vertical="center"/>
    </xf>
    <xf numFmtId="2" fontId="1" fillId="0" borderId="15" xfId="4" applyNumberFormat="1" applyFont="1" applyBorder="1" applyAlignment="1">
      <alignment horizontal="center" vertical="center"/>
    </xf>
    <xf numFmtId="165" fontId="1" fillId="0" borderId="23" xfId="4" applyNumberFormat="1" applyFont="1" applyBorder="1" applyAlignment="1">
      <alignment horizontal="center" vertical="center"/>
    </xf>
    <xf numFmtId="165" fontId="1" fillId="0" borderId="15" xfId="4" applyNumberFormat="1" applyFont="1" applyBorder="1" applyAlignment="1">
      <alignment horizontal="center" vertical="center"/>
    </xf>
    <xf numFmtId="164" fontId="1" fillId="0" borderId="23" xfId="4" applyNumberFormat="1" applyFont="1" applyBorder="1" applyAlignment="1">
      <alignment horizontal="center" vertical="center"/>
    </xf>
    <xf numFmtId="164" fontId="1" fillId="0" borderId="15" xfId="4" applyNumberFormat="1" applyFont="1" applyBorder="1" applyAlignment="1">
      <alignment horizontal="center" vertical="center"/>
    </xf>
    <xf numFmtId="164" fontId="1" fillId="8" borderId="17" xfId="5" applyNumberFormat="1" applyFont="1" applyFill="1" applyBorder="1" applyAlignment="1">
      <alignment horizontal="center" vertical="center"/>
    </xf>
    <xf numFmtId="164" fontId="1" fillId="8" borderId="17" xfId="4" applyNumberFormat="1" applyFont="1" applyFill="1" applyBorder="1" applyAlignment="1">
      <alignment horizontal="center" vertical="center"/>
    </xf>
    <xf numFmtId="0" fontId="1" fillId="8" borderId="23" xfId="4" applyFont="1" applyFill="1" applyBorder="1" applyAlignment="1">
      <alignment horizontal="center" vertical="center"/>
    </xf>
    <xf numFmtId="0" fontId="1" fillId="8" borderId="15" xfId="4" applyFont="1" applyFill="1" applyBorder="1" applyAlignment="1">
      <alignment horizontal="center" vertical="center"/>
    </xf>
    <xf numFmtId="2" fontId="1" fillId="8" borderId="23" xfId="4" applyNumberFormat="1" applyFont="1" applyFill="1" applyBorder="1" applyAlignment="1">
      <alignment horizontal="center" vertical="center"/>
    </xf>
    <xf numFmtId="2" fontId="1" fillId="8" borderId="15" xfId="4" applyNumberFormat="1" applyFont="1" applyFill="1" applyBorder="1" applyAlignment="1">
      <alignment horizontal="center" vertical="center"/>
    </xf>
    <xf numFmtId="0" fontId="19" fillId="0" borderId="14" xfId="1" applyFont="1" applyBorder="1" applyAlignment="1">
      <alignment horizontal="left" vertical="center"/>
    </xf>
    <xf numFmtId="0" fontId="1" fillId="0" borderId="14" xfId="4" applyFont="1" applyBorder="1"/>
    <xf numFmtId="0" fontId="1" fillId="0" borderId="14" xfId="4" applyFont="1" applyBorder="1" applyAlignment="1">
      <alignment horizontal="center"/>
    </xf>
    <xf numFmtId="0" fontId="20" fillId="0" borderId="14" xfId="1" applyFont="1" applyBorder="1" applyAlignment="1">
      <alignment horizontal="left"/>
    </xf>
    <xf numFmtId="0" fontId="11" fillId="0" borderId="19" xfId="4" applyFont="1" applyBorder="1" applyAlignment="1">
      <alignment horizontal="center" vertical="center" wrapText="1"/>
    </xf>
    <xf numFmtId="0" fontId="11" fillId="0" borderId="17" xfId="4" applyFont="1" applyBorder="1" applyAlignment="1">
      <alignment horizontal="center" vertical="center" wrapText="1"/>
    </xf>
    <xf numFmtId="0" fontId="13" fillId="6" borderId="1" xfId="4" applyFont="1" applyFill="1" applyBorder="1" applyAlignment="1">
      <alignment horizontal="center" vertical="center"/>
    </xf>
    <xf numFmtId="0" fontId="13" fillId="6" borderId="5" xfId="4" applyFont="1" applyFill="1" applyBorder="1" applyAlignment="1">
      <alignment horizontal="center" vertical="center"/>
    </xf>
    <xf numFmtId="0" fontId="13" fillId="6" borderId="8" xfId="4" applyFont="1" applyFill="1" applyBorder="1" applyAlignment="1">
      <alignment horizontal="center" vertical="center"/>
    </xf>
    <xf numFmtId="0" fontId="3" fillId="6" borderId="2" xfId="4" applyFont="1" applyFill="1" applyBorder="1" applyAlignment="1">
      <alignment horizontal="center" vertical="center" wrapText="1"/>
    </xf>
    <xf numFmtId="0" fontId="3" fillId="6" borderId="3" xfId="4" applyFont="1" applyFill="1" applyBorder="1" applyAlignment="1">
      <alignment horizontal="center" vertical="center" wrapText="1"/>
    </xf>
    <xf numFmtId="0" fontId="3" fillId="6" borderId="4" xfId="4" applyFont="1" applyFill="1" applyBorder="1" applyAlignment="1">
      <alignment horizontal="center" vertical="center" wrapText="1"/>
    </xf>
    <xf numFmtId="0" fontId="3" fillId="6" borderId="6" xfId="4" applyFont="1" applyFill="1" applyBorder="1" applyAlignment="1">
      <alignment horizontal="center" vertical="center" wrapText="1"/>
    </xf>
    <xf numFmtId="0" fontId="3" fillId="6" borderId="0" xfId="4" applyFont="1" applyFill="1" applyAlignment="1">
      <alignment horizontal="center" vertical="center" wrapText="1"/>
    </xf>
    <xf numFmtId="0" fontId="3" fillId="6" borderId="7" xfId="4" applyFont="1" applyFill="1" applyBorder="1" applyAlignment="1">
      <alignment horizontal="center" vertical="center" wrapText="1"/>
    </xf>
    <xf numFmtId="0" fontId="3" fillId="6" borderId="9" xfId="4" applyFont="1" applyFill="1" applyBorder="1" applyAlignment="1">
      <alignment horizontal="center" vertical="center" wrapText="1"/>
    </xf>
    <xf numFmtId="0" fontId="3" fillId="6" borderId="10" xfId="4" applyFont="1" applyFill="1" applyBorder="1" applyAlignment="1">
      <alignment horizontal="center" vertical="center" wrapText="1"/>
    </xf>
    <xf numFmtId="0" fontId="3" fillId="6" borderId="11" xfId="4" applyFont="1" applyFill="1" applyBorder="1" applyAlignment="1">
      <alignment horizontal="center" vertical="center" wrapText="1"/>
    </xf>
    <xf numFmtId="0" fontId="18" fillId="0" borderId="14" xfId="1" applyFont="1" applyBorder="1" applyAlignment="1">
      <alignment horizontal="left"/>
    </xf>
    <xf numFmtId="14" fontId="1" fillId="0" borderId="14" xfId="4" applyNumberFormat="1" applyFont="1" applyBorder="1" applyAlignment="1">
      <alignment horizontal="left"/>
    </xf>
    <xf numFmtId="14" fontId="1" fillId="0" borderId="15" xfId="4" applyNumberFormat="1" applyFont="1" applyBorder="1" applyAlignment="1">
      <alignment horizontal="left"/>
    </xf>
    <xf numFmtId="0" fontId="1" fillId="0" borderId="15" xfId="4" applyFont="1" applyBorder="1" applyAlignment="1">
      <alignment horizontal="center"/>
    </xf>
    <xf numFmtId="0" fontId="2" fillId="5" borderId="17" xfId="4" applyFont="1" applyFill="1" applyBorder="1" applyAlignment="1">
      <alignment horizontal="center"/>
    </xf>
    <xf numFmtId="0" fontId="8" fillId="0" borderId="23" xfId="4" applyFont="1" applyBorder="1" applyAlignment="1">
      <alignment horizontal="center" vertical="center"/>
    </xf>
    <xf numFmtId="0" fontId="8" fillId="0" borderId="14" xfId="4" applyFont="1" applyBorder="1" applyAlignment="1">
      <alignment horizontal="center" vertical="center"/>
    </xf>
    <xf numFmtId="0" fontId="11" fillId="0" borderId="17" xfId="4" applyFont="1" applyBorder="1" applyAlignment="1">
      <alignment horizontal="left" vertical="center"/>
    </xf>
    <xf numFmtId="0" fontId="2" fillId="0" borderId="0" xfId="4" applyFont="1" applyAlignment="1">
      <alignment horizontal="center"/>
    </xf>
    <xf numFmtId="0" fontId="11" fillId="0" borderId="21" xfId="4" applyFont="1" applyBorder="1" applyAlignment="1">
      <alignment horizontal="center" vertical="center" wrapText="1"/>
    </xf>
    <xf numFmtId="0" fontId="11" fillId="0" borderId="16" xfId="4" applyFont="1" applyBorder="1" applyAlignment="1">
      <alignment horizontal="center" vertical="center" wrapText="1"/>
    </xf>
    <xf numFmtId="164" fontId="1" fillId="0" borderId="23" xfId="4" applyNumberFormat="1" applyFont="1" applyBorder="1" applyAlignment="1">
      <alignment horizontal="center" vertical="center"/>
    </xf>
    <xf numFmtId="164" fontId="1" fillId="0" borderId="15" xfId="4" applyNumberFormat="1" applyFont="1" applyBorder="1" applyAlignment="1">
      <alignment horizontal="center" vertical="center"/>
    </xf>
    <xf numFmtId="2" fontId="1" fillId="0" borderId="23" xfId="4" applyNumberFormat="1" applyFont="1" applyBorder="1" applyAlignment="1">
      <alignment horizontal="center" vertical="center"/>
    </xf>
    <xf numFmtId="2" fontId="1" fillId="0" borderId="15" xfId="4" applyNumberFormat="1" applyFont="1" applyBorder="1" applyAlignment="1">
      <alignment horizontal="center" vertical="center"/>
    </xf>
    <xf numFmtId="166" fontId="10" fillId="3" borderId="13" xfId="4" applyNumberFormat="1" applyFont="1" applyFill="1" applyBorder="1" applyAlignment="1">
      <alignment horizontal="center" vertical="center" wrapText="1"/>
    </xf>
    <xf numFmtId="166" fontId="10" fillId="3" borderId="14" xfId="4" applyNumberFormat="1" applyFont="1" applyFill="1" applyBorder="1" applyAlignment="1">
      <alignment horizontal="center" vertical="center" wrapText="1"/>
    </xf>
    <xf numFmtId="166" fontId="10" fillId="3" borderId="15" xfId="4" applyNumberFormat="1" applyFont="1" applyFill="1" applyBorder="1" applyAlignment="1">
      <alignment horizontal="center" vertical="center" wrapText="1"/>
    </xf>
    <xf numFmtId="0" fontId="15" fillId="5" borderId="17" xfId="4" applyFont="1" applyFill="1" applyBorder="1" applyAlignment="1">
      <alignment horizontal="center" vertical="center"/>
    </xf>
    <xf numFmtId="0" fontId="2" fillId="5" borderId="17" xfId="4" applyFont="1" applyFill="1" applyBorder="1" applyAlignment="1">
      <alignment horizontal="center" vertical="center"/>
    </xf>
    <xf numFmtId="0" fontId="1" fillId="5" borderId="17" xfId="4" applyFont="1" applyFill="1" applyBorder="1" applyAlignment="1">
      <alignment horizontal="center" vertical="center"/>
    </xf>
    <xf numFmtId="0" fontId="1" fillId="0" borderId="13" xfId="4" applyFont="1" applyBorder="1" applyAlignment="1">
      <alignment horizontal="center"/>
    </xf>
    <xf numFmtId="0" fontId="1" fillId="0" borderId="18" xfId="4" applyFont="1" applyBorder="1" applyAlignment="1">
      <alignment horizontal="center"/>
    </xf>
    <xf numFmtId="0" fontId="2" fillId="0" borderId="0" xfId="4" applyFont="1" applyAlignment="1">
      <alignment horizontal="left"/>
    </xf>
    <xf numFmtId="0" fontId="2" fillId="0" borderId="7" xfId="4" applyFont="1" applyBorder="1" applyAlignment="1">
      <alignment horizontal="left"/>
    </xf>
    <xf numFmtId="165" fontId="1" fillId="0" borderId="17" xfId="4" applyNumberFormat="1" applyFont="1" applyBorder="1" applyAlignment="1">
      <alignment horizontal="center"/>
    </xf>
    <xf numFmtId="2" fontId="1" fillId="0" borderId="24" xfId="4" applyNumberFormat="1" applyFont="1" applyBorder="1" applyAlignment="1">
      <alignment horizontal="center"/>
    </xf>
    <xf numFmtId="0" fontId="2" fillId="0" borderId="0" xfId="6" applyFont="1"/>
    <xf numFmtId="164" fontId="1" fillId="0" borderId="17" xfId="4" applyNumberFormat="1" applyFont="1" applyBorder="1" applyAlignment="1">
      <alignment horizontal="center"/>
    </xf>
    <xf numFmtId="164" fontId="1" fillId="0" borderId="23" xfId="5" applyNumberFormat="1" applyFont="1" applyFill="1" applyBorder="1" applyAlignment="1">
      <alignment horizontal="center" vertical="center"/>
    </xf>
    <xf numFmtId="164" fontId="1" fillId="0" borderId="15" xfId="5" applyNumberFormat="1" applyFont="1" applyFill="1" applyBorder="1" applyAlignment="1">
      <alignment horizontal="center" vertical="center"/>
    </xf>
    <xf numFmtId="165" fontId="1" fillId="0" borderId="23" xfId="4" applyNumberFormat="1" applyFont="1" applyBorder="1" applyAlignment="1">
      <alignment horizontal="center" vertical="center"/>
    </xf>
    <xf numFmtId="165" fontId="1" fillId="0" borderId="15" xfId="4" applyNumberFormat="1" applyFont="1" applyBorder="1" applyAlignment="1">
      <alignment horizontal="center" vertical="center"/>
    </xf>
    <xf numFmtId="0" fontId="1" fillId="0" borderId="23" xfId="4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/>
    </xf>
    <xf numFmtId="0" fontId="2" fillId="0" borderId="5" xfId="4" applyFont="1" applyBorder="1" applyAlignment="1">
      <alignment horizontal="center"/>
    </xf>
    <xf numFmtId="0" fontId="2" fillId="0" borderId="8" xfId="4" applyFont="1" applyBorder="1" applyAlignment="1">
      <alignment horizontal="center"/>
    </xf>
    <xf numFmtId="0" fontId="3" fillId="2" borderId="2" xfId="4" applyFont="1" applyFill="1" applyBorder="1" applyAlignment="1">
      <alignment horizontal="center" vertical="center" wrapText="1"/>
    </xf>
    <xf numFmtId="0" fontId="3" fillId="2" borderId="3" xfId="4" applyFont="1" applyFill="1" applyBorder="1" applyAlignment="1">
      <alignment horizontal="center" vertical="center" wrapText="1"/>
    </xf>
    <xf numFmtId="0" fontId="3" fillId="2" borderId="4" xfId="4" applyFont="1" applyFill="1" applyBorder="1" applyAlignment="1">
      <alignment horizontal="center" vertical="center" wrapText="1"/>
    </xf>
    <xf numFmtId="0" fontId="3" fillId="2" borderId="6" xfId="4" applyFont="1" applyFill="1" applyBorder="1" applyAlignment="1">
      <alignment horizontal="center" vertical="center" wrapText="1"/>
    </xf>
    <xf numFmtId="0" fontId="3" fillId="2" borderId="0" xfId="4" applyFont="1" applyFill="1" applyAlignment="1">
      <alignment horizontal="center" vertical="center" wrapText="1"/>
    </xf>
    <xf numFmtId="0" fontId="3" fillId="2" borderId="7" xfId="4" applyFont="1" applyFill="1" applyBorder="1" applyAlignment="1">
      <alignment horizontal="center" vertical="center" wrapText="1"/>
    </xf>
    <xf numFmtId="0" fontId="3" fillId="2" borderId="9" xfId="4" applyFont="1" applyFill="1" applyBorder="1" applyAlignment="1">
      <alignment horizontal="center" vertical="center" wrapText="1"/>
    </xf>
    <xf numFmtId="0" fontId="3" fillId="2" borderId="10" xfId="4" applyFont="1" applyFill="1" applyBorder="1" applyAlignment="1">
      <alignment horizontal="center" vertical="center" wrapText="1"/>
    </xf>
    <xf numFmtId="0" fontId="3" fillId="2" borderId="11" xfId="4" applyFont="1" applyFill="1" applyBorder="1" applyAlignment="1">
      <alignment horizontal="center" vertical="center" wrapText="1"/>
    </xf>
    <xf numFmtId="0" fontId="9" fillId="0" borderId="14" xfId="4" applyFont="1" applyBorder="1" applyAlignment="1">
      <alignment horizontal="left" vertical="center"/>
    </xf>
    <xf numFmtId="0" fontId="2" fillId="0" borderId="17" xfId="4" applyFont="1" applyBorder="1"/>
    <xf numFmtId="166" fontId="5" fillId="0" borderId="17" xfId="4" applyNumberFormat="1" applyFont="1" applyBorder="1" applyAlignment="1"/>
    <xf numFmtId="166" fontId="2" fillId="0" borderId="17" xfId="4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2" fillId="0" borderId="32" xfId="4" applyNumberFormat="1" applyFont="1" applyBorder="1" applyAlignment="1">
      <alignment horizontal="center"/>
    </xf>
    <xf numFmtId="166" fontId="2" fillId="0" borderId="0" xfId="4" applyNumberFormat="1" applyFont="1" applyBorder="1" applyAlignment="1"/>
    <xf numFmtId="166" fontId="2" fillId="7" borderId="28" xfId="4" applyNumberFormat="1" applyFont="1" applyFill="1" applyBorder="1" applyAlignment="1">
      <alignment horizontal="center"/>
    </xf>
    <xf numFmtId="166" fontId="2" fillId="7" borderId="31" xfId="4" applyNumberFormat="1" applyFont="1" applyFill="1" applyBorder="1" applyAlignment="1">
      <alignment horizontal="center"/>
    </xf>
    <xf numFmtId="166" fontId="10" fillId="9" borderId="13" xfId="4" applyNumberFormat="1" applyFont="1" applyFill="1" applyBorder="1" applyAlignment="1">
      <alignment horizontal="center" vertical="center" wrapText="1"/>
    </xf>
    <xf numFmtId="166" fontId="10" fillId="9" borderId="14" xfId="4" applyNumberFormat="1" applyFont="1" applyFill="1" applyBorder="1" applyAlignment="1">
      <alignment horizontal="center" vertical="center" wrapText="1"/>
    </xf>
    <xf numFmtId="166" fontId="10" fillId="9" borderId="15" xfId="4" applyNumberFormat="1" applyFont="1" applyFill="1" applyBorder="1" applyAlignment="1">
      <alignment horizontal="center" vertical="center" wrapText="1"/>
    </xf>
    <xf numFmtId="0" fontId="21" fillId="5" borderId="23" xfId="4" applyFont="1" applyFill="1" applyBorder="1" applyAlignment="1">
      <alignment horizontal="center" vertical="center"/>
    </xf>
    <xf numFmtId="0" fontId="21" fillId="5" borderId="14" xfId="4" applyFont="1" applyFill="1" applyBorder="1" applyAlignment="1">
      <alignment horizontal="center" vertical="center"/>
    </xf>
    <xf numFmtId="0" fontId="21" fillId="5" borderId="15" xfId="4" applyFont="1" applyFill="1" applyBorder="1" applyAlignment="1">
      <alignment horizontal="center" vertical="center"/>
    </xf>
    <xf numFmtId="0" fontId="10" fillId="5" borderId="23" xfId="4" applyFont="1" applyFill="1" applyBorder="1" applyAlignment="1">
      <alignment horizontal="center" vertical="center"/>
    </xf>
    <xf numFmtId="0" fontId="10" fillId="5" borderId="14" xfId="4" applyFont="1" applyFill="1" applyBorder="1" applyAlignment="1">
      <alignment horizontal="center" vertical="center"/>
    </xf>
    <xf numFmtId="0" fontId="10" fillId="5" borderId="15" xfId="4" applyFont="1" applyFill="1" applyBorder="1" applyAlignment="1">
      <alignment horizontal="center" vertical="center"/>
    </xf>
    <xf numFmtId="0" fontId="5" fillId="5" borderId="17" xfId="4" applyFont="1" applyFill="1" applyBorder="1" applyAlignment="1">
      <alignment horizontal="center" vertical="center"/>
    </xf>
    <xf numFmtId="0" fontId="2" fillId="8" borderId="0" xfId="4" applyFont="1" applyFill="1"/>
    <xf numFmtId="0" fontId="4" fillId="8" borderId="0" xfId="4" applyFont="1" applyFill="1"/>
    <xf numFmtId="0" fontId="2" fillId="8" borderId="0" xfId="4" applyFont="1" applyFill="1" applyAlignment="1">
      <alignment vertical="center"/>
    </xf>
  </cellXfs>
  <cellStyles count="7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5" xr:uid="{00000000-0005-0000-0000-000003000000}"/>
    <cellStyle name="Normal 2 3" xfId="6" xr:uid="{00000000-0005-0000-0000-000004000000}"/>
    <cellStyle name="Normal 3" xfId="2" xr:uid="{00000000-0005-0000-0000-000005000000}"/>
    <cellStyle name="Normal 4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ESFUERZO Vs DEFORMACIÓN</a:t>
            </a:r>
          </a:p>
        </c:rich>
      </c:tx>
      <c:layout>
        <c:manualLayout>
          <c:xMode val="edge"/>
          <c:yMode val="edge"/>
          <c:x val="0.29074921138191284"/>
          <c:y val="3.61842686450655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26035891478771"/>
          <c:y val="0.17995380235801323"/>
          <c:w val="0.82158678670797924"/>
          <c:h val="0.5921062141919815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noFill/>
            </a:ln>
          </c:spPr>
          <c:marker>
            <c:symbol val="diamond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1750">
                <a:solidFill>
                  <a:schemeClr val="tx2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'3.'!$P$14:$P$30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0.18392469225199132</c:v>
                </c:pt>
                <c:pt idx="2">
                  <c:v>0.36784938450398263</c:v>
                </c:pt>
                <c:pt idx="3">
                  <c:v>0.5517740767559739</c:v>
                </c:pt>
                <c:pt idx="4">
                  <c:v>0.73569876900796527</c:v>
                </c:pt>
                <c:pt idx="5">
                  <c:v>0.91962346125995653</c:v>
                </c:pt>
                <c:pt idx="6">
                  <c:v>1.1035481535119478</c:v>
                </c:pt>
                <c:pt idx="7">
                  <c:v>1.2874728457639393</c:v>
                </c:pt>
                <c:pt idx="8">
                  <c:v>1.4713975380159305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xVal>
          <c:yVal>
            <c:numRef>
              <c:f>'3.'!$R$14:$R$30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3.2771038561178349E-2</c:v>
                </c:pt>
                <c:pt idx="2">
                  <c:v>6.5421306932513842E-2</c:v>
                </c:pt>
                <c:pt idx="3">
                  <c:v>0.12651978993892504</c:v>
                </c:pt>
                <c:pt idx="4">
                  <c:v>0.18739182883938088</c:v>
                </c:pt>
                <c:pt idx="5">
                  <c:v>0.20330936363432897</c:v>
                </c:pt>
                <c:pt idx="6">
                  <c:v>0.21510787419853425</c:v>
                </c:pt>
                <c:pt idx="7">
                  <c:v>0.21875891394363603</c:v>
                </c:pt>
                <c:pt idx="8">
                  <c:v>0.21026422882873427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2E-4A7E-9CA8-467E5ECB717A}"/>
            </c:ext>
          </c:extLst>
        </c:ser>
        <c:ser>
          <c:idx val="2"/>
          <c:order val="1"/>
          <c:spPr>
            <a:ln w="25400">
              <a:noFill/>
            </a:ln>
          </c:spPr>
          <c:marker>
            <c:symbol val="triangle"/>
            <c:size val="5"/>
            <c:spPr>
              <a:noFill/>
              <a:ln w="9525">
                <a:noFill/>
              </a:ln>
            </c:spPr>
          </c:marker>
          <c:xVal>
            <c:numRef>
              <c:f>'3.'!$P$15:$P$31</c:f>
              <c:numCache>
                <c:formatCode>0.00</c:formatCode>
                <c:ptCount val="17"/>
                <c:pt idx="0">
                  <c:v>0.18392469225199132</c:v>
                </c:pt>
                <c:pt idx="1">
                  <c:v>0.36784938450398263</c:v>
                </c:pt>
                <c:pt idx="2">
                  <c:v>0.5517740767559739</c:v>
                </c:pt>
                <c:pt idx="3">
                  <c:v>0.73569876900796527</c:v>
                </c:pt>
                <c:pt idx="4">
                  <c:v>0.91962346125995653</c:v>
                </c:pt>
                <c:pt idx="5">
                  <c:v>1.1035481535119478</c:v>
                </c:pt>
                <c:pt idx="6">
                  <c:v>1.2874728457639393</c:v>
                </c:pt>
                <c:pt idx="7">
                  <c:v>1.4713975380159305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'3.'!$F$17</c:f>
              <c:numCache>
                <c:formatCode>0.0</c:formatCode>
                <c:ptCount val="1"/>
                <c:pt idx="0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2E-4A7E-9CA8-467E5ECB717A}"/>
            </c:ext>
          </c:extLst>
        </c:ser>
        <c:ser>
          <c:idx val="3"/>
          <c:order val="2"/>
          <c:spPr>
            <a:ln w="25400">
              <a:noFill/>
            </a:ln>
          </c:spPr>
          <c:marker>
            <c:symbol val="x"/>
            <c:size val="2"/>
            <c:spPr>
              <a:noFill/>
              <a:ln w="9525">
                <a:noFill/>
              </a:ln>
            </c:spPr>
          </c:marker>
          <c:xVal>
            <c:numRef>
              <c:f>'3.'!$P$15:$P$31</c:f>
              <c:numCache>
                <c:formatCode>0.00</c:formatCode>
                <c:ptCount val="17"/>
                <c:pt idx="0">
                  <c:v>0.18392469225199132</c:v>
                </c:pt>
                <c:pt idx="1">
                  <c:v>0.36784938450398263</c:v>
                </c:pt>
                <c:pt idx="2">
                  <c:v>0.5517740767559739</c:v>
                </c:pt>
                <c:pt idx="3">
                  <c:v>0.73569876900796527</c:v>
                </c:pt>
                <c:pt idx="4">
                  <c:v>0.91962346125995653</c:v>
                </c:pt>
                <c:pt idx="5">
                  <c:v>1.1035481535119478</c:v>
                </c:pt>
                <c:pt idx="6">
                  <c:v>1.2874728457639393</c:v>
                </c:pt>
                <c:pt idx="7">
                  <c:v>1.4713975380159305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'3.'!$F$18</c:f>
              <c:numCache>
                <c:formatCode>0.0</c:formatCode>
                <c:ptCount val="1"/>
                <c:pt idx="0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2E-4A7E-9CA8-467E5ECB717A}"/>
            </c:ext>
          </c:extLst>
        </c:ser>
        <c:ser>
          <c:idx val="4"/>
          <c:order val="3"/>
          <c:spPr>
            <a:ln w="25400">
              <a:noFill/>
            </a:ln>
          </c:spPr>
          <c:marker>
            <c:symbol val="star"/>
            <c:size val="5"/>
            <c:spPr>
              <a:noFill/>
              <a:ln w="9525">
                <a:noFill/>
              </a:ln>
            </c:spPr>
          </c:marker>
          <c:xVal>
            <c:numRef>
              <c:f>'3.'!$P$15:$P$31</c:f>
              <c:numCache>
                <c:formatCode>0.00</c:formatCode>
                <c:ptCount val="17"/>
                <c:pt idx="0">
                  <c:v>0.18392469225199132</c:v>
                </c:pt>
                <c:pt idx="1">
                  <c:v>0.36784938450398263</c:v>
                </c:pt>
                <c:pt idx="2">
                  <c:v>0.5517740767559739</c:v>
                </c:pt>
                <c:pt idx="3">
                  <c:v>0.73569876900796527</c:v>
                </c:pt>
                <c:pt idx="4">
                  <c:v>0.91962346125995653</c:v>
                </c:pt>
                <c:pt idx="5">
                  <c:v>1.1035481535119478</c:v>
                </c:pt>
                <c:pt idx="6">
                  <c:v>1.2874728457639393</c:v>
                </c:pt>
                <c:pt idx="7">
                  <c:v>1.4713975380159305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'3.'!$F$19</c:f>
              <c:numCache>
                <c:formatCode>0.0</c:formatCode>
                <c:ptCount val="1"/>
                <c:pt idx="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2E-4A7E-9CA8-467E5ECB717A}"/>
            </c:ext>
          </c:extLst>
        </c:ser>
        <c:ser>
          <c:idx val="5"/>
          <c:order val="4"/>
          <c:spPr>
            <a:ln w="25400">
              <a:noFill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xVal>
            <c:numRef>
              <c:f>'3.'!$P$15:$P$31</c:f>
              <c:numCache>
                <c:formatCode>0.00</c:formatCode>
                <c:ptCount val="17"/>
                <c:pt idx="0">
                  <c:v>0.18392469225199132</c:v>
                </c:pt>
                <c:pt idx="1">
                  <c:v>0.36784938450398263</c:v>
                </c:pt>
                <c:pt idx="2">
                  <c:v>0.5517740767559739</c:v>
                </c:pt>
                <c:pt idx="3">
                  <c:v>0.73569876900796527</c:v>
                </c:pt>
                <c:pt idx="4">
                  <c:v>0.91962346125995653</c:v>
                </c:pt>
                <c:pt idx="5">
                  <c:v>1.1035481535119478</c:v>
                </c:pt>
                <c:pt idx="6">
                  <c:v>1.2874728457639393</c:v>
                </c:pt>
                <c:pt idx="7">
                  <c:v>1.4713975380159305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'3.'!$F$20</c:f>
              <c:numCache>
                <c:formatCode>0.0</c:formatCode>
                <c:ptCount val="1"/>
                <c:pt idx="0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2E-4A7E-9CA8-467E5ECB717A}"/>
            </c:ext>
          </c:extLst>
        </c:ser>
        <c:ser>
          <c:idx val="6"/>
          <c:order val="5"/>
          <c:spPr>
            <a:ln w="25400">
              <a:noFill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'3.'!$P$15:$P$31</c:f>
              <c:numCache>
                <c:formatCode>0.00</c:formatCode>
                <c:ptCount val="17"/>
                <c:pt idx="0">
                  <c:v>0.18392469225199132</c:v>
                </c:pt>
                <c:pt idx="1">
                  <c:v>0.36784938450398263</c:v>
                </c:pt>
                <c:pt idx="2">
                  <c:v>0.5517740767559739</c:v>
                </c:pt>
                <c:pt idx="3">
                  <c:v>0.73569876900796527</c:v>
                </c:pt>
                <c:pt idx="4">
                  <c:v>0.91962346125995653</c:v>
                </c:pt>
                <c:pt idx="5">
                  <c:v>1.1035481535119478</c:v>
                </c:pt>
                <c:pt idx="6">
                  <c:v>1.2874728457639393</c:v>
                </c:pt>
                <c:pt idx="7">
                  <c:v>1.4713975380159305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'3.'!$F$21</c:f>
              <c:numCache>
                <c:formatCode>0.0</c:formatCode>
                <c:ptCount val="1"/>
                <c:pt idx="0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A2E-4A7E-9CA8-467E5ECB717A}"/>
            </c:ext>
          </c:extLst>
        </c:ser>
        <c:ser>
          <c:idx val="7"/>
          <c:order val="6"/>
          <c:spPr>
            <a:ln w="25400">
              <a:noFill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'3.'!$P$15:$P$31</c:f>
              <c:numCache>
                <c:formatCode>0.00</c:formatCode>
                <c:ptCount val="17"/>
                <c:pt idx="0">
                  <c:v>0.18392469225199132</c:v>
                </c:pt>
                <c:pt idx="1">
                  <c:v>0.36784938450398263</c:v>
                </c:pt>
                <c:pt idx="2">
                  <c:v>0.5517740767559739</c:v>
                </c:pt>
                <c:pt idx="3">
                  <c:v>0.73569876900796527</c:v>
                </c:pt>
                <c:pt idx="4">
                  <c:v>0.91962346125995653</c:v>
                </c:pt>
                <c:pt idx="5">
                  <c:v>1.1035481535119478</c:v>
                </c:pt>
                <c:pt idx="6">
                  <c:v>1.2874728457639393</c:v>
                </c:pt>
                <c:pt idx="7">
                  <c:v>1.4713975380159305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'3.'!$F$22</c:f>
              <c:numCache>
                <c:formatCode>0.0</c:formatCode>
                <c:ptCount val="1"/>
                <c:pt idx="0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2E-4A7E-9CA8-467E5ECB717A}"/>
            </c:ext>
          </c:extLst>
        </c:ser>
        <c:ser>
          <c:idx val="8"/>
          <c:order val="7"/>
          <c:spPr>
            <a:ln w="25400">
              <a:noFill/>
            </a:ln>
          </c:spPr>
          <c:marker>
            <c:symbol val="dash"/>
            <c:size val="5"/>
            <c:spPr>
              <a:noFill/>
              <a:ln w="9525">
                <a:noFill/>
              </a:ln>
            </c:spPr>
          </c:marker>
          <c:xVal>
            <c:numRef>
              <c:f>'3.'!$P$15:$P$31</c:f>
              <c:numCache>
                <c:formatCode>0.00</c:formatCode>
                <c:ptCount val="17"/>
                <c:pt idx="0">
                  <c:v>0.18392469225199132</c:v>
                </c:pt>
                <c:pt idx="1">
                  <c:v>0.36784938450398263</c:v>
                </c:pt>
                <c:pt idx="2">
                  <c:v>0.5517740767559739</c:v>
                </c:pt>
                <c:pt idx="3">
                  <c:v>0.73569876900796527</c:v>
                </c:pt>
                <c:pt idx="4">
                  <c:v>0.91962346125995653</c:v>
                </c:pt>
                <c:pt idx="5">
                  <c:v>1.1035481535119478</c:v>
                </c:pt>
                <c:pt idx="6">
                  <c:v>1.2874728457639393</c:v>
                </c:pt>
                <c:pt idx="7">
                  <c:v>1.4713975380159305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'3.'!$F$23</c:f>
              <c:numCache>
                <c:formatCode>0.0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A2E-4A7E-9CA8-467E5ECB717A}"/>
            </c:ext>
          </c:extLst>
        </c:ser>
        <c:ser>
          <c:idx val="9"/>
          <c:order val="8"/>
          <c:spPr>
            <a:ln w="25400">
              <a:noFill/>
            </a:ln>
          </c:spPr>
          <c:marker>
            <c:symbol val="diamond"/>
            <c:size val="5"/>
            <c:spPr>
              <a:noFill/>
              <a:ln w="9525">
                <a:noFill/>
              </a:ln>
            </c:spPr>
          </c:marker>
          <c:xVal>
            <c:numRef>
              <c:f>'3.'!$P$15:$P$31</c:f>
              <c:numCache>
                <c:formatCode>0.00</c:formatCode>
                <c:ptCount val="17"/>
                <c:pt idx="0">
                  <c:v>0.18392469225199132</c:v>
                </c:pt>
                <c:pt idx="1">
                  <c:v>0.36784938450398263</c:v>
                </c:pt>
                <c:pt idx="2">
                  <c:v>0.5517740767559739</c:v>
                </c:pt>
                <c:pt idx="3">
                  <c:v>0.73569876900796527</c:v>
                </c:pt>
                <c:pt idx="4">
                  <c:v>0.91962346125995653</c:v>
                </c:pt>
                <c:pt idx="5">
                  <c:v>1.1035481535119478</c:v>
                </c:pt>
                <c:pt idx="6">
                  <c:v>1.2874728457639393</c:v>
                </c:pt>
                <c:pt idx="7">
                  <c:v>1.4713975380159305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'3.'!$F$24</c:f>
              <c:numCache>
                <c:formatCode>0.0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A2E-4A7E-9CA8-467E5ECB717A}"/>
            </c:ext>
          </c:extLst>
        </c:ser>
        <c:ser>
          <c:idx val="10"/>
          <c:order val="9"/>
          <c:spPr>
            <a:ln w="25400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xVal>
            <c:numRef>
              <c:f>'3.'!$P$15:$P$31</c:f>
              <c:numCache>
                <c:formatCode>0.00</c:formatCode>
                <c:ptCount val="17"/>
                <c:pt idx="0">
                  <c:v>0.18392469225199132</c:v>
                </c:pt>
                <c:pt idx="1">
                  <c:v>0.36784938450398263</c:v>
                </c:pt>
                <c:pt idx="2">
                  <c:v>0.5517740767559739</c:v>
                </c:pt>
                <c:pt idx="3">
                  <c:v>0.73569876900796527</c:v>
                </c:pt>
                <c:pt idx="4">
                  <c:v>0.91962346125995653</c:v>
                </c:pt>
                <c:pt idx="5">
                  <c:v>1.1035481535119478</c:v>
                </c:pt>
                <c:pt idx="6">
                  <c:v>1.2874728457639393</c:v>
                </c:pt>
                <c:pt idx="7">
                  <c:v>1.4713975380159305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'3.'!$F$25</c:f>
              <c:numCache>
                <c:formatCode>0.0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A2E-4A7E-9CA8-467E5ECB717A}"/>
            </c:ext>
          </c:extLst>
        </c:ser>
        <c:ser>
          <c:idx val="11"/>
          <c:order val="10"/>
          <c:spPr>
            <a:ln w="25400">
              <a:noFill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xVal>
            <c:numRef>
              <c:f>'3.'!$P$15:$P$31</c:f>
              <c:numCache>
                <c:formatCode>0.00</c:formatCode>
                <c:ptCount val="17"/>
                <c:pt idx="0">
                  <c:v>0.18392469225199132</c:v>
                </c:pt>
                <c:pt idx="1">
                  <c:v>0.36784938450398263</c:v>
                </c:pt>
                <c:pt idx="2">
                  <c:v>0.5517740767559739</c:v>
                </c:pt>
                <c:pt idx="3">
                  <c:v>0.73569876900796527</c:v>
                </c:pt>
                <c:pt idx="4">
                  <c:v>0.91962346125995653</c:v>
                </c:pt>
                <c:pt idx="5">
                  <c:v>1.1035481535119478</c:v>
                </c:pt>
                <c:pt idx="6">
                  <c:v>1.2874728457639393</c:v>
                </c:pt>
                <c:pt idx="7">
                  <c:v>1.4713975380159305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'3.'!$F$26</c:f>
              <c:numCache>
                <c:formatCode>0.0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A2E-4A7E-9CA8-467E5ECB717A}"/>
            </c:ext>
          </c:extLst>
        </c:ser>
        <c:ser>
          <c:idx val="12"/>
          <c:order val="11"/>
          <c:spPr>
            <a:ln w="25400">
              <a:noFill/>
            </a:ln>
          </c:spPr>
          <c:marker>
            <c:symbol val="dot"/>
            <c:size val="2"/>
            <c:spPr>
              <a:noFill/>
              <a:ln w="9525">
                <a:noFill/>
              </a:ln>
            </c:spPr>
          </c:marker>
          <c:xVal>
            <c:numRef>
              <c:f>'3.'!$P$15:$P$31</c:f>
              <c:numCache>
                <c:formatCode>0.00</c:formatCode>
                <c:ptCount val="17"/>
                <c:pt idx="0">
                  <c:v>0.18392469225199132</c:v>
                </c:pt>
                <c:pt idx="1">
                  <c:v>0.36784938450398263</c:v>
                </c:pt>
                <c:pt idx="2">
                  <c:v>0.5517740767559739</c:v>
                </c:pt>
                <c:pt idx="3">
                  <c:v>0.73569876900796527</c:v>
                </c:pt>
                <c:pt idx="4">
                  <c:v>0.91962346125995653</c:v>
                </c:pt>
                <c:pt idx="5">
                  <c:v>1.1035481535119478</c:v>
                </c:pt>
                <c:pt idx="6">
                  <c:v>1.2874728457639393</c:v>
                </c:pt>
                <c:pt idx="7">
                  <c:v>1.4713975380159305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'3.'!$F$27</c:f>
              <c:numCache>
                <c:formatCode>0.0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A2E-4A7E-9CA8-467E5ECB7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56511152"/>
        <c:axId val="-1356510608"/>
      </c:scatterChart>
      <c:valAx>
        <c:axId val="-1356511152"/>
        <c:scaling>
          <c:orientation val="minMax"/>
          <c:max val="3"/>
          <c:min val="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lang="es-CO"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DEFORMACIÓN UNITARIA (%Du)</a:t>
                </a:r>
              </a:p>
            </c:rich>
          </c:tx>
          <c:layout>
            <c:manualLayout>
              <c:xMode val="edge"/>
              <c:yMode val="edge"/>
              <c:x val="0.36343651422739087"/>
              <c:y val="0.87829088438477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1356510608"/>
        <c:crosses val="autoZero"/>
        <c:crossBetween val="midCat"/>
        <c:majorUnit val="2"/>
        <c:minorUnit val="1"/>
      </c:valAx>
      <c:valAx>
        <c:axId val="-135651060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CO"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ESFUERZO (Kg/cm2)</a:t>
                </a:r>
              </a:p>
            </c:rich>
          </c:tx>
          <c:layout>
            <c:manualLayout>
              <c:xMode val="edge"/>
              <c:yMode val="edge"/>
              <c:x val="2.4756174708930614E-2"/>
              <c:y val="0.3651323657490501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135651115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" r="0.750000000000001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CO"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ESFUERZO Vs DEFORMACIÓN</a:t>
            </a:r>
          </a:p>
        </c:rich>
      </c:tx>
      <c:layout>
        <c:manualLayout>
          <c:xMode val="edge"/>
          <c:yMode val="edge"/>
          <c:x val="0.29074921138191284"/>
          <c:y val="3.61842686450655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26035891478771"/>
          <c:y val="0.17995380235801323"/>
          <c:w val="0.82158678670797924"/>
          <c:h val="0.5921062141919815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noFill/>
            </a:ln>
          </c:spPr>
          <c:marker>
            <c:symbol val="diamond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1750">
                <a:solidFill>
                  <a:schemeClr val="tx2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copia!$O$14:$O$30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0.26185567010309285</c:v>
                </c:pt>
                <c:pt idx="2">
                  <c:v>0.5237113402061857</c:v>
                </c:pt>
                <c:pt idx="3">
                  <c:v>0.78556701030927845</c:v>
                </c:pt>
                <c:pt idx="4">
                  <c:v>1.0474226804123714</c:v>
                </c:pt>
                <c:pt idx="5">
                  <c:v>1.3092783505154642</c:v>
                </c:pt>
                <c:pt idx="6">
                  <c:v>1.5711340206185569</c:v>
                </c:pt>
                <c:pt idx="7">
                  <c:v>1.8329896907216499</c:v>
                </c:pt>
                <c:pt idx="8">
                  <c:v>2.0948453608247428</c:v>
                </c:pt>
                <c:pt idx="9">
                  <c:v>2.3567010309278351</c:v>
                </c:pt>
                <c:pt idx="10">
                  <c:v>2.6185567010309283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xVal>
          <c:yVal>
            <c:numRef>
              <c:f>copia!$Q$14:$Q$30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0.11131384906880455</c:v>
                </c:pt>
                <c:pt idx="2">
                  <c:v>0.20353960399365004</c:v>
                </c:pt>
                <c:pt idx="3">
                  <c:v>0.45214486742561028</c:v>
                </c:pt>
                <c:pt idx="4">
                  <c:v>0.55218554198727277</c:v>
                </c:pt>
                <c:pt idx="5">
                  <c:v>0.59661799982960795</c:v>
                </c:pt>
                <c:pt idx="6">
                  <c:v>0.72319637955898397</c:v>
                </c:pt>
                <c:pt idx="7">
                  <c:v>0.77605260472657367</c:v>
                </c:pt>
                <c:pt idx="8">
                  <c:v>0.77398252258588607</c:v>
                </c:pt>
                <c:pt idx="9">
                  <c:v>0.77191244044519869</c:v>
                </c:pt>
                <c:pt idx="10">
                  <c:v>0.76984235830451109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26-4418-B19E-82240FB7C001}"/>
            </c:ext>
          </c:extLst>
        </c:ser>
        <c:ser>
          <c:idx val="2"/>
          <c:order val="1"/>
          <c:spPr>
            <a:ln w="25400">
              <a:noFill/>
            </a:ln>
          </c:spPr>
          <c:marker>
            <c:symbol val="triangle"/>
            <c:size val="5"/>
            <c:spPr>
              <a:noFill/>
              <a:ln w="9525">
                <a:noFill/>
              </a:ln>
            </c:spPr>
          </c:marker>
          <c:xVal>
            <c:numRef>
              <c:f>copia!$O$15:$O$31</c:f>
              <c:numCache>
                <c:formatCode>0.00</c:formatCode>
                <c:ptCount val="17"/>
                <c:pt idx="0">
                  <c:v>0.26185567010309285</c:v>
                </c:pt>
                <c:pt idx="1">
                  <c:v>0.5237113402061857</c:v>
                </c:pt>
                <c:pt idx="2">
                  <c:v>0.78556701030927845</c:v>
                </c:pt>
                <c:pt idx="3">
                  <c:v>1.0474226804123714</c:v>
                </c:pt>
                <c:pt idx="4">
                  <c:v>1.3092783505154642</c:v>
                </c:pt>
                <c:pt idx="5">
                  <c:v>1.5711340206185569</c:v>
                </c:pt>
                <c:pt idx="6">
                  <c:v>1.8329896907216499</c:v>
                </c:pt>
                <c:pt idx="7">
                  <c:v>2.0948453608247428</c:v>
                </c:pt>
                <c:pt idx="8">
                  <c:v>2.3567010309278351</c:v>
                </c:pt>
                <c:pt idx="9">
                  <c:v>2.6185567010309283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copia!$E$17</c:f>
              <c:numCache>
                <c:formatCode>0.0</c:formatCode>
                <c:ptCount val="1"/>
                <c:pt idx="0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26-4418-B19E-82240FB7C001}"/>
            </c:ext>
          </c:extLst>
        </c:ser>
        <c:ser>
          <c:idx val="3"/>
          <c:order val="2"/>
          <c:spPr>
            <a:ln w="25400">
              <a:noFill/>
            </a:ln>
          </c:spPr>
          <c:marker>
            <c:symbol val="x"/>
            <c:size val="2"/>
            <c:spPr>
              <a:noFill/>
              <a:ln w="9525">
                <a:noFill/>
              </a:ln>
            </c:spPr>
          </c:marker>
          <c:xVal>
            <c:numRef>
              <c:f>copia!$O$15:$O$31</c:f>
              <c:numCache>
                <c:formatCode>0.00</c:formatCode>
                <c:ptCount val="17"/>
                <c:pt idx="0">
                  <c:v>0.26185567010309285</c:v>
                </c:pt>
                <c:pt idx="1">
                  <c:v>0.5237113402061857</c:v>
                </c:pt>
                <c:pt idx="2">
                  <c:v>0.78556701030927845</c:v>
                </c:pt>
                <c:pt idx="3">
                  <c:v>1.0474226804123714</c:v>
                </c:pt>
                <c:pt idx="4">
                  <c:v>1.3092783505154642</c:v>
                </c:pt>
                <c:pt idx="5">
                  <c:v>1.5711340206185569</c:v>
                </c:pt>
                <c:pt idx="6">
                  <c:v>1.8329896907216499</c:v>
                </c:pt>
                <c:pt idx="7">
                  <c:v>2.0948453608247428</c:v>
                </c:pt>
                <c:pt idx="8">
                  <c:v>2.3567010309278351</c:v>
                </c:pt>
                <c:pt idx="9">
                  <c:v>2.6185567010309283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copia!$E$18</c:f>
              <c:numCache>
                <c:formatCode>0.0</c:formatCode>
                <c:ptCount val="1"/>
                <c:pt idx="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26-4418-B19E-82240FB7C001}"/>
            </c:ext>
          </c:extLst>
        </c:ser>
        <c:ser>
          <c:idx val="4"/>
          <c:order val="3"/>
          <c:spPr>
            <a:ln w="25400">
              <a:noFill/>
            </a:ln>
          </c:spPr>
          <c:marker>
            <c:symbol val="star"/>
            <c:size val="5"/>
            <c:spPr>
              <a:noFill/>
              <a:ln w="9525">
                <a:noFill/>
              </a:ln>
            </c:spPr>
          </c:marker>
          <c:xVal>
            <c:numRef>
              <c:f>copia!$O$15:$O$31</c:f>
              <c:numCache>
                <c:formatCode>0.00</c:formatCode>
                <c:ptCount val="17"/>
                <c:pt idx="0">
                  <c:v>0.26185567010309285</c:v>
                </c:pt>
                <c:pt idx="1">
                  <c:v>0.5237113402061857</c:v>
                </c:pt>
                <c:pt idx="2">
                  <c:v>0.78556701030927845</c:v>
                </c:pt>
                <c:pt idx="3">
                  <c:v>1.0474226804123714</c:v>
                </c:pt>
                <c:pt idx="4">
                  <c:v>1.3092783505154642</c:v>
                </c:pt>
                <c:pt idx="5">
                  <c:v>1.5711340206185569</c:v>
                </c:pt>
                <c:pt idx="6">
                  <c:v>1.8329896907216499</c:v>
                </c:pt>
                <c:pt idx="7">
                  <c:v>2.0948453608247428</c:v>
                </c:pt>
                <c:pt idx="8">
                  <c:v>2.3567010309278351</c:v>
                </c:pt>
                <c:pt idx="9">
                  <c:v>2.6185567010309283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copia!$E$19</c:f>
              <c:numCache>
                <c:formatCode>0.0</c:formatCode>
                <c:ptCount val="1"/>
                <c:pt idx="0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26-4418-B19E-82240FB7C001}"/>
            </c:ext>
          </c:extLst>
        </c:ser>
        <c:ser>
          <c:idx val="5"/>
          <c:order val="4"/>
          <c:spPr>
            <a:ln w="25400">
              <a:noFill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xVal>
            <c:numRef>
              <c:f>copia!$O$15:$O$31</c:f>
              <c:numCache>
                <c:formatCode>0.00</c:formatCode>
                <c:ptCount val="17"/>
                <c:pt idx="0">
                  <c:v>0.26185567010309285</c:v>
                </c:pt>
                <c:pt idx="1">
                  <c:v>0.5237113402061857</c:v>
                </c:pt>
                <c:pt idx="2">
                  <c:v>0.78556701030927845</c:v>
                </c:pt>
                <c:pt idx="3">
                  <c:v>1.0474226804123714</c:v>
                </c:pt>
                <c:pt idx="4">
                  <c:v>1.3092783505154642</c:v>
                </c:pt>
                <c:pt idx="5">
                  <c:v>1.5711340206185569</c:v>
                </c:pt>
                <c:pt idx="6">
                  <c:v>1.8329896907216499</c:v>
                </c:pt>
                <c:pt idx="7">
                  <c:v>2.0948453608247428</c:v>
                </c:pt>
                <c:pt idx="8">
                  <c:v>2.3567010309278351</c:v>
                </c:pt>
                <c:pt idx="9">
                  <c:v>2.6185567010309283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copia!$E$20</c:f>
              <c:numCache>
                <c:formatCode>0.0</c:formatCode>
                <c:ptCount val="1"/>
                <c:pt idx="0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26-4418-B19E-82240FB7C001}"/>
            </c:ext>
          </c:extLst>
        </c:ser>
        <c:ser>
          <c:idx val="6"/>
          <c:order val="5"/>
          <c:spPr>
            <a:ln w="25400">
              <a:noFill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copia!$O$15:$O$31</c:f>
              <c:numCache>
                <c:formatCode>0.00</c:formatCode>
                <c:ptCount val="17"/>
                <c:pt idx="0">
                  <c:v>0.26185567010309285</c:v>
                </c:pt>
                <c:pt idx="1">
                  <c:v>0.5237113402061857</c:v>
                </c:pt>
                <c:pt idx="2">
                  <c:v>0.78556701030927845</c:v>
                </c:pt>
                <c:pt idx="3">
                  <c:v>1.0474226804123714</c:v>
                </c:pt>
                <c:pt idx="4">
                  <c:v>1.3092783505154642</c:v>
                </c:pt>
                <c:pt idx="5">
                  <c:v>1.5711340206185569</c:v>
                </c:pt>
                <c:pt idx="6">
                  <c:v>1.8329896907216499</c:v>
                </c:pt>
                <c:pt idx="7">
                  <c:v>2.0948453608247428</c:v>
                </c:pt>
                <c:pt idx="8">
                  <c:v>2.3567010309278351</c:v>
                </c:pt>
                <c:pt idx="9">
                  <c:v>2.6185567010309283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copia!$E$21</c:f>
              <c:numCache>
                <c:formatCode>0.0</c:formatCode>
                <c:ptCount val="1"/>
                <c:pt idx="0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26-4418-B19E-82240FB7C001}"/>
            </c:ext>
          </c:extLst>
        </c:ser>
        <c:ser>
          <c:idx val="7"/>
          <c:order val="6"/>
          <c:spPr>
            <a:ln w="25400">
              <a:noFill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copia!$O$15:$O$31</c:f>
              <c:numCache>
                <c:formatCode>0.00</c:formatCode>
                <c:ptCount val="17"/>
                <c:pt idx="0">
                  <c:v>0.26185567010309285</c:v>
                </c:pt>
                <c:pt idx="1">
                  <c:v>0.5237113402061857</c:v>
                </c:pt>
                <c:pt idx="2">
                  <c:v>0.78556701030927845</c:v>
                </c:pt>
                <c:pt idx="3">
                  <c:v>1.0474226804123714</c:v>
                </c:pt>
                <c:pt idx="4">
                  <c:v>1.3092783505154642</c:v>
                </c:pt>
                <c:pt idx="5">
                  <c:v>1.5711340206185569</c:v>
                </c:pt>
                <c:pt idx="6">
                  <c:v>1.8329896907216499</c:v>
                </c:pt>
                <c:pt idx="7">
                  <c:v>2.0948453608247428</c:v>
                </c:pt>
                <c:pt idx="8">
                  <c:v>2.3567010309278351</c:v>
                </c:pt>
                <c:pt idx="9">
                  <c:v>2.6185567010309283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copia!$E$22</c:f>
              <c:numCache>
                <c:formatCode>0.0</c:formatCode>
                <c:ptCount val="1"/>
                <c:pt idx="0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26-4418-B19E-82240FB7C001}"/>
            </c:ext>
          </c:extLst>
        </c:ser>
        <c:ser>
          <c:idx val="8"/>
          <c:order val="7"/>
          <c:spPr>
            <a:ln w="25400">
              <a:noFill/>
            </a:ln>
          </c:spPr>
          <c:marker>
            <c:symbol val="dash"/>
            <c:size val="5"/>
            <c:spPr>
              <a:noFill/>
              <a:ln w="9525">
                <a:noFill/>
              </a:ln>
            </c:spPr>
          </c:marker>
          <c:xVal>
            <c:numRef>
              <c:f>copia!$O$15:$O$31</c:f>
              <c:numCache>
                <c:formatCode>0.00</c:formatCode>
                <c:ptCount val="17"/>
                <c:pt idx="0">
                  <c:v>0.26185567010309285</c:v>
                </c:pt>
                <c:pt idx="1">
                  <c:v>0.5237113402061857</c:v>
                </c:pt>
                <c:pt idx="2">
                  <c:v>0.78556701030927845</c:v>
                </c:pt>
                <c:pt idx="3">
                  <c:v>1.0474226804123714</c:v>
                </c:pt>
                <c:pt idx="4">
                  <c:v>1.3092783505154642</c:v>
                </c:pt>
                <c:pt idx="5">
                  <c:v>1.5711340206185569</c:v>
                </c:pt>
                <c:pt idx="6">
                  <c:v>1.8329896907216499</c:v>
                </c:pt>
                <c:pt idx="7">
                  <c:v>2.0948453608247428</c:v>
                </c:pt>
                <c:pt idx="8">
                  <c:v>2.3567010309278351</c:v>
                </c:pt>
                <c:pt idx="9">
                  <c:v>2.6185567010309283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copia!$E$23</c:f>
              <c:numCache>
                <c:formatCode>0.0</c:formatCode>
                <c:ptCount val="1"/>
                <c:pt idx="0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826-4418-B19E-82240FB7C001}"/>
            </c:ext>
          </c:extLst>
        </c:ser>
        <c:ser>
          <c:idx val="9"/>
          <c:order val="8"/>
          <c:spPr>
            <a:ln w="25400">
              <a:noFill/>
            </a:ln>
          </c:spPr>
          <c:marker>
            <c:symbol val="diamond"/>
            <c:size val="5"/>
            <c:spPr>
              <a:noFill/>
              <a:ln w="9525">
                <a:noFill/>
              </a:ln>
            </c:spPr>
          </c:marker>
          <c:xVal>
            <c:numRef>
              <c:f>copia!$O$15:$O$31</c:f>
              <c:numCache>
                <c:formatCode>0.00</c:formatCode>
                <c:ptCount val="17"/>
                <c:pt idx="0">
                  <c:v>0.26185567010309285</c:v>
                </c:pt>
                <c:pt idx="1">
                  <c:v>0.5237113402061857</c:v>
                </c:pt>
                <c:pt idx="2">
                  <c:v>0.78556701030927845</c:v>
                </c:pt>
                <c:pt idx="3">
                  <c:v>1.0474226804123714</c:v>
                </c:pt>
                <c:pt idx="4">
                  <c:v>1.3092783505154642</c:v>
                </c:pt>
                <c:pt idx="5">
                  <c:v>1.5711340206185569</c:v>
                </c:pt>
                <c:pt idx="6">
                  <c:v>1.8329896907216499</c:v>
                </c:pt>
                <c:pt idx="7">
                  <c:v>2.0948453608247428</c:v>
                </c:pt>
                <c:pt idx="8">
                  <c:v>2.3567010309278351</c:v>
                </c:pt>
                <c:pt idx="9">
                  <c:v>2.6185567010309283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copia!$E$24</c:f>
              <c:numCache>
                <c:formatCode>0.0</c:formatCode>
                <c:ptCount val="1"/>
                <c:pt idx="0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826-4418-B19E-82240FB7C001}"/>
            </c:ext>
          </c:extLst>
        </c:ser>
        <c:ser>
          <c:idx val="10"/>
          <c:order val="9"/>
          <c:spPr>
            <a:ln w="25400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xVal>
            <c:numRef>
              <c:f>copia!$O$15:$O$31</c:f>
              <c:numCache>
                <c:formatCode>0.00</c:formatCode>
                <c:ptCount val="17"/>
                <c:pt idx="0">
                  <c:v>0.26185567010309285</c:v>
                </c:pt>
                <c:pt idx="1">
                  <c:v>0.5237113402061857</c:v>
                </c:pt>
                <c:pt idx="2">
                  <c:v>0.78556701030927845</c:v>
                </c:pt>
                <c:pt idx="3">
                  <c:v>1.0474226804123714</c:v>
                </c:pt>
                <c:pt idx="4">
                  <c:v>1.3092783505154642</c:v>
                </c:pt>
                <c:pt idx="5">
                  <c:v>1.5711340206185569</c:v>
                </c:pt>
                <c:pt idx="6">
                  <c:v>1.8329896907216499</c:v>
                </c:pt>
                <c:pt idx="7">
                  <c:v>2.0948453608247428</c:v>
                </c:pt>
                <c:pt idx="8">
                  <c:v>2.3567010309278351</c:v>
                </c:pt>
                <c:pt idx="9">
                  <c:v>2.6185567010309283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copia!$E$25</c:f>
              <c:numCache>
                <c:formatCode>0.0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826-4418-B19E-82240FB7C001}"/>
            </c:ext>
          </c:extLst>
        </c:ser>
        <c:ser>
          <c:idx val="11"/>
          <c:order val="10"/>
          <c:spPr>
            <a:ln w="25400">
              <a:noFill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xVal>
            <c:numRef>
              <c:f>copia!$O$15:$O$31</c:f>
              <c:numCache>
                <c:formatCode>0.00</c:formatCode>
                <c:ptCount val="17"/>
                <c:pt idx="0">
                  <c:v>0.26185567010309285</c:v>
                </c:pt>
                <c:pt idx="1">
                  <c:v>0.5237113402061857</c:v>
                </c:pt>
                <c:pt idx="2">
                  <c:v>0.78556701030927845</c:v>
                </c:pt>
                <c:pt idx="3">
                  <c:v>1.0474226804123714</c:v>
                </c:pt>
                <c:pt idx="4">
                  <c:v>1.3092783505154642</c:v>
                </c:pt>
                <c:pt idx="5">
                  <c:v>1.5711340206185569</c:v>
                </c:pt>
                <c:pt idx="6">
                  <c:v>1.8329896907216499</c:v>
                </c:pt>
                <c:pt idx="7">
                  <c:v>2.0948453608247428</c:v>
                </c:pt>
                <c:pt idx="8">
                  <c:v>2.3567010309278351</c:v>
                </c:pt>
                <c:pt idx="9">
                  <c:v>2.6185567010309283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copia!$E$26</c:f>
              <c:numCache>
                <c:formatCode>0.0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826-4418-B19E-82240FB7C001}"/>
            </c:ext>
          </c:extLst>
        </c:ser>
        <c:ser>
          <c:idx val="12"/>
          <c:order val="11"/>
          <c:spPr>
            <a:ln w="25400">
              <a:noFill/>
            </a:ln>
          </c:spPr>
          <c:marker>
            <c:symbol val="dot"/>
            <c:size val="2"/>
            <c:spPr>
              <a:noFill/>
              <a:ln w="9525">
                <a:noFill/>
              </a:ln>
            </c:spPr>
          </c:marker>
          <c:xVal>
            <c:numRef>
              <c:f>copia!$O$15:$O$31</c:f>
              <c:numCache>
                <c:formatCode>0.00</c:formatCode>
                <c:ptCount val="17"/>
                <c:pt idx="0">
                  <c:v>0.26185567010309285</c:v>
                </c:pt>
                <c:pt idx="1">
                  <c:v>0.5237113402061857</c:v>
                </c:pt>
                <c:pt idx="2">
                  <c:v>0.78556701030927845</c:v>
                </c:pt>
                <c:pt idx="3">
                  <c:v>1.0474226804123714</c:v>
                </c:pt>
                <c:pt idx="4">
                  <c:v>1.3092783505154642</c:v>
                </c:pt>
                <c:pt idx="5">
                  <c:v>1.5711340206185569</c:v>
                </c:pt>
                <c:pt idx="6">
                  <c:v>1.8329896907216499</c:v>
                </c:pt>
                <c:pt idx="7">
                  <c:v>2.0948453608247428</c:v>
                </c:pt>
                <c:pt idx="8">
                  <c:v>2.3567010309278351</c:v>
                </c:pt>
                <c:pt idx="9">
                  <c:v>2.6185567010309283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copia!$E$27</c:f>
              <c:numCache>
                <c:formatCode>0.0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826-4418-B19E-82240FB7C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56507344"/>
        <c:axId val="-1356506800"/>
      </c:scatterChart>
      <c:valAx>
        <c:axId val="-1356507344"/>
        <c:scaling>
          <c:orientation val="minMax"/>
          <c:max val="3"/>
          <c:min val="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lang="es-CO"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DEFORMACIÓN UNITARIA (%Du)</a:t>
                </a:r>
              </a:p>
            </c:rich>
          </c:tx>
          <c:layout>
            <c:manualLayout>
              <c:xMode val="edge"/>
              <c:yMode val="edge"/>
              <c:x val="0.36343651422739087"/>
              <c:y val="0.87829088438477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1356506800"/>
        <c:crosses val="autoZero"/>
        <c:crossBetween val="midCat"/>
        <c:majorUnit val="2"/>
        <c:minorUnit val="1"/>
      </c:valAx>
      <c:valAx>
        <c:axId val="-1356506800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CO"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ESFUERZO (Kg/cm2)</a:t>
                </a:r>
              </a:p>
            </c:rich>
          </c:tx>
          <c:layout>
            <c:manualLayout>
              <c:xMode val="edge"/>
              <c:yMode val="edge"/>
              <c:x val="2.4756174708930614E-2"/>
              <c:y val="0.3651323657490501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CO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-135650734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" r="0.750000000000001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675838</xdr:colOff>
      <xdr:row>45</xdr:row>
      <xdr:rowOff>197934</xdr:rowOff>
    </xdr:from>
    <xdr:to>
      <xdr:col>9</xdr:col>
      <xdr:colOff>414295</xdr:colOff>
      <xdr:row>47</xdr:row>
      <xdr:rowOff>767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549F876A-79DD-4576-8A71-96208AD9D3CE}"/>
            </a:ext>
          </a:extLst>
        </xdr:cNvPr>
        <xdr:cNvGrpSpPr>
          <a:grpSpLocks/>
        </xdr:cNvGrpSpPr>
      </xdr:nvGrpSpPr>
      <xdr:grpSpPr bwMode="auto">
        <a:xfrm>
          <a:off x="5157124" y="12081505"/>
          <a:ext cx="4582600" cy="238262"/>
          <a:chOff x="143" y="987"/>
          <a:chExt cx="350" cy="19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111AC1AF-1310-43FB-85F8-0EACA8C88FBC}"/>
              </a:ext>
            </a:extLst>
          </xdr:cNvPr>
          <xdr:cNvSpPr>
            <a:spLocks noChangeShapeType="1"/>
          </xdr:cNvSpPr>
        </xdr:nvSpPr>
        <xdr:spPr bwMode="auto">
          <a:xfrm>
            <a:off x="143" y="987"/>
            <a:ext cx="16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Text Box 6">
            <a:extLst>
              <a:ext uri="{FF2B5EF4-FFF2-40B4-BE49-F238E27FC236}">
                <a16:creationId xmlns:a16="http://schemas.microsoft.com/office/drawing/2014/main" id="{8F65A85F-C11E-4F56-B5ED-FD65FFF0972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990"/>
            <a:ext cx="14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EJECUTÓ</a:t>
            </a:r>
          </a:p>
        </xdr:txBody>
      </xdr:sp>
      <xdr:sp macro="" textlink="">
        <xdr:nvSpPr>
          <xdr:cNvPr id="5" name="Text Box 8">
            <a:extLst>
              <a:ext uri="{FF2B5EF4-FFF2-40B4-BE49-F238E27FC236}">
                <a16:creationId xmlns:a16="http://schemas.microsoft.com/office/drawing/2014/main" id="{5414B3B2-565B-4BF2-89C8-4E74829DB9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" y="988"/>
            <a:ext cx="14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APROBÓ</a:t>
            </a:r>
          </a:p>
        </xdr:txBody>
      </xdr:sp>
      <xdr:sp macro="" textlink="">
        <xdr:nvSpPr>
          <xdr:cNvPr id="6" name="Line 9">
            <a:extLst>
              <a:ext uri="{FF2B5EF4-FFF2-40B4-BE49-F238E27FC236}">
                <a16:creationId xmlns:a16="http://schemas.microsoft.com/office/drawing/2014/main" id="{A8FFC3F2-FFE1-4ACB-AA26-B2208AC1EF07}"/>
              </a:ext>
            </a:extLst>
          </xdr:cNvPr>
          <xdr:cNvSpPr>
            <a:spLocks noChangeShapeType="1"/>
          </xdr:cNvSpPr>
        </xdr:nvSpPr>
        <xdr:spPr bwMode="auto">
          <a:xfrm>
            <a:off x="340" y="988"/>
            <a:ext cx="15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74084</xdr:colOff>
      <xdr:row>35</xdr:row>
      <xdr:rowOff>21168</xdr:rowOff>
    </xdr:from>
    <xdr:to>
      <xdr:col>4</xdr:col>
      <xdr:colOff>0</xdr:colOff>
      <xdr:row>46</xdr:row>
      <xdr:rowOff>209175</xdr:rowOff>
    </xdr:to>
    <xdr:graphicFrame macro="">
      <xdr:nvGraphicFramePr>
        <xdr:cNvPr id="7" name="Chart 11">
          <a:extLst>
            <a:ext uri="{FF2B5EF4-FFF2-40B4-BE49-F238E27FC236}">
              <a16:creationId xmlns:a16="http://schemas.microsoft.com/office/drawing/2014/main" id="{F9080D99-B4EF-4DB5-AB5C-EED8DF19A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22410</xdr:colOff>
      <xdr:row>38</xdr:row>
      <xdr:rowOff>0</xdr:rowOff>
    </xdr:from>
    <xdr:to>
      <xdr:col>9</xdr:col>
      <xdr:colOff>881530</xdr:colOff>
      <xdr:row>44</xdr:row>
      <xdr:rowOff>11207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6BDB884-1292-40EB-8716-974C965AF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9704" y="9756588"/>
          <a:ext cx="3877238" cy="1804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675838</xdr:colOff>
      <xdr:row>45</xdr:row>
      <xdr:rowOff>197934</xdr:rowOff>
    </xdr:from>
    <xdr:to>
      <xdr:col>8</xdr:col>
      <xdr:colOff>414295</xdr:colOff>
      <xdr:row>47</xdr:row>
      <xdr:rowOff>767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A935A71C-E4CB-440B-8903-57F37A2A268C}"/>
            </a:ext>
          </a:extLst>
        </xdr:cNvPr>
        <xdr:cNvGrpSpPr>
          <a:grpSpLocks/>
        </xdr:cNvGrpSpPr>
      </xdr:nvGrpSpPr>
      <xdr:grpSpPr bwMode="auto">
        <a:xfrm>
          <a:off x="3984894" y="11056434"/>
          <a:ext cx="5220623" cy="240277"/>
          <a:chOff x="143" y="987"/>
          <a:chExt cx="350" cy="19"/>
        </a:xfrm>
      </xdr:grpSpPr>
      <xdr:sp macro="" textlink="">
        <xdr:nvSpPr>
          <xdr:cNvPr id="3" name="Line 3">
            <a:extLst>
              <a:ext uri="{FF2B5EF4-FFF2-40B4-BE49-F238E27FC236}">
                <a16:creationId xmlns:a16="http://schemas.microsoft.com/office/drawing/2014/main" id="{6931042E-608B-4842-9572-3A09B6344138}"/>
              </a:ext>
            </a:extLst>
          </xdr:cNvPr>
          <xdr:cNvSpPr>
            <a:spLocks noChangeShapeType="1"/>
          </xdr:cNvSpPr>
        </xdr:nvSpPr>
        <xdr:spPr bwMode="auto">
          <a:xfrm>
            <a:off x="143" y="987"/>
            <a:ext cx="16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Text Box 6">
            <a:extLst>
              <a:ext uri="{FF2B5EF4-FFF2-40B4-BE49-F238E27FC236}">
                <a16:creationId xmlns:a16="http://schemas.microsoft.com/office/drawing/2014/main" id="{78D21E86-A322-4C1D-AAFF-44DB52A2E96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990"/>
            <a:ext cx="14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EJECUTÓ</a:t>
            </a:r>
          </a:p>
        </xdr:txBody>
      </xdr:sp>
      <xdr:sp macro="" textlink="">
        <xdr:nvSpPr>
          <xdr:cNvPr id="5" name="Text Box 8">
            <a:extLst>
              <a:ext uri="{FF2B5EF4-FFF2-40B4-BE49-F238E27FC236}">
                <a16:creationId xmlns:a16="http://schemas.microsoft.com/office/drawing/2014/main" id="{9D9834BC-5BB5-4D24-BC10-EA4A2542385F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" y="988"/>
            <a:ext cx="14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APROBÓ</a:t>
            </a:r>
          </a:p>
        </xdr:txBody>
      </xdr:sp>
      <xdr:sp macro="" textlink="">
        <xdr:nvSpPr>
          <xdr:cNvPr id="6" name="Line 9">
            <a:extLst>
              <a:ext uri="{FF2B5EF4-FFF2-40B4-BE49-F238E27FC236}">
                <a16:creationId xmlns:a16="http://schemas.microsoft.com/office/drawing/2014/main" id="{4E33B4C1-31AA-47D6-A274-AFB3B38E8D1A}"/>
              </a:ext>
            </a:extLst>
          </xdr:cNvPr>
          <xdr:cNvSpPr>
            <a:spLocks noChangeShapeType="1"/>
          </xdr:cNvSpPr>
        </xdr:nvSpPr>
        <xdr:spPr bwMode="auto">
          <a:xfrm>
            <a:off x="340" y="988"/>
            <a:ext cx="15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74084</xdr:colOff>
      <xdr:row>35</xdr:row>
      <xdr:rowOff>21169</xdr:rowOff>
    </xdr:from>
    <xdr:to>
      <xdr:col>2</xdr:col>
      <xdr:colOff>635001</xdr:colOff>
      <xdr:row>46</xdr:row>
      <xdr:rowOff>21167</xdr:rowOff>
    </xdr:to>
    <xdr:graphicFrame macro="">
      <xdr:nvGraphicFramePr>
        <xdr:cNvPr id="7" name="Chart 11">
          <a:extLst>
            <a:ext uri="{FF2B5EF4-FFF2-40B4-BE49-F238E27FC236}">
              <a16:creationId xmlns:a16="http://schemas.microsoft.com/office/drawing/2014/main" id="{FBDEBE71-BC30-4ECC-A3C2-919BCB02D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904856</xdr:colOff>
      <xdr:row>0</xdr:row>
      <xdr:rowOff>119063</xdr:rowOff>
    </xdr:from>
    <xdr:to>
      <xdr:col>0</xdr:col>
      <xdr:colOff>2147075</xdr:colOff>
      <xdr:row>4</xdr:row>
      <xdr:rowOff>23813</xdr:rowOff>
    </xdr:to>
    <xdr:sp macro="" textlink="">
      <xdr:nvSpPr>
        <xdr:cNvPr id="8" name="16 CuadroTexto">
          <a:extLst>
            <a:ext uri="{FF2B5EF4-FFF2-40B4-BE49-F238E27FC236}">
              <a16:creationId xmlns:a16="http://schemas.microsoft.com/office/drawing/2014/main" id="{3CFD9EFD-1F4C-49ED-84B2-63BF4A8C5AEA}"/>
            </a:ext>
          </a:extLst>
        </xdr:cNvPr>
        <xdr:cNvSpPr txBox="1"/>
      </xdr:nvSpPr>
      <xdr:spPr>
        <a:xfrm>
          <a:off x="904856" y="119063"/>
          <a:ext cx="1242219" cy="619125"/>
        </a:xfrm>
        <a:prstGeom prst="rect">
          <a:avLst/>
        </a:prstGeom>
        <a:solidFill>
          <a:sysClr val="window" lastClr="FFFFFF">
            <a:lumMod val="65000"/>
          </a:sysClr>
        </a:solidFill>
        <a:ln w="9525" cmpd="sng">
          <a:solidFill>
            <a:sysClr val="windowText" lastClr="000000"/>
          </a:solidFill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LABORATORIO DE SUELOS</a:t>
          </a:r>
        </a:p>
      </xdr:txBody>
    </xdr:sp>
    <xdr:clientData/>
  </xdr:twoCellAnchor>
  <xdr:twoCellAnchor editAs="oneCell">
    <xdr:from>
      <xdr:col>0</xdr:col>
      <xdr:colOff>83345</xdr:colOff>
      <xdr:row>0</xdr:row>
      <xdr:rowOff>107155</xdr:rowOff>
    </xdr:from>
    <xdr:to>
      <xdr:col>0</xdr:col>
      <xdr:colOff>869157</xdr:colOff>
      <xdr:row>3</xdr:row>
      <xdr:rowOff>123635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2A04D3D9-0FB3-407C-A477-5094EB69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3" t="16284" r="9875" b="24867"/>
        <a:stretch>
          <a:fillRect/>
        </a:stretch>
      </xdr:blipFill>
      <xdr:spPr bwMode="auto">
        <a:xfrm>
          <a:off x="83345" y="107155"/>
          <a:ext cx="785812" cy="568930"/>
        </a:xfrm>
        <a:prstGeom prst="rect">
          <a:avLst/>
        </a:prstGeom>
        <a:noFill/>
        <a:ln w="12700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8"/>
  <sheetViews>
    <sheetView tabSelected="1" view="pageBreakPreview" topLeftCell="A11" zoomScale="70" zoomScaleNormal="70" zoomScaleSheetLayoutView="70" workbookViewId="0">
      <selection activeCell="M9" sqref="M9"/>
    </sheetView>
  </sheetViews>
  <sheetFormatPr baseColWidth="10" defaultColWidth="11.54296875" defaultRowHeight="13" x14ac:dyDescent="0.3"/>
  <cols>
    <col min="1" max="1" width="16.90625" style="1" customWidth="1"/>
    <col min="2" max="2" width="37.1796875" style="1" customWidth="1"/>
    <col min="3" max="4" width="10.1796875" style="1" customWidth="1"/>
    <col min="5" max="5" width="16.08984375" style="1" customWidth="1"/>
    <col min="6" max="6" width="10.1796875" style="1" customWidth="1"/>
    <col min="7" max="7" width="11" style="1" customWidth="1"/>
    <col min="8" max="8" width="10.1796875" style="1" customWidth="1"/>
    <col min="9" max="9" width="11.81640625" style="1" customWidth="1"/>
    <col min="10" max="10" width="12.81640625" style="1" customWidth="1"/>
    <col min="11" max="11" width="10.1796875" style="1" customWidth="1"/>
    <col min="12" max="24" width="9.7265625" style="1" customWidth="1"/>
    <col min="25" max="16384" width="11.54296875" style="1"/>
  </cols>
  <sheetData>
    <row r="1" spans="1:18" ht="15.75" customHeight="1" thickTop="1" x14ac:dyDescent="0.3">
      <c r="B1" s="75" t="s">
        <v>44</v>
      </c>
      <c r="C1" s="78" t="s">
        <v>0</v>
      </c>
      <c r="D1" s="79"/>
      <c r="E1" s="79"/>
      <c r="F1" s="79"/>
      <c r="G1" s="79"/>
      <c r="H1" s="79"/>
      <c r="I1" s="79"/>
      <c r="J1" s="80"/>
    </row>
    <row r="2" spans="1:18" ht="15" customHeight="1" x14ac:dyDescent="0.3">
      <c r="A2" s="153"/>
      <c r="B2" s="76"/>
      <c r="C2" s="81"/>
      <c r="D2" s="82"/>
      <c r="E2" s="82"/>
      <c r="F2" s="82"/>
      <c r="G2" s="82"/>
      <c r="H2" s="82"/>
      <c r="I2" s="82"/>
      <c r="J2" s="83"/>
    </row>
    <row r="3" spans="1:18" ht="13.15" customHeight="1" x14ac:dyDescent="0.3">
      <c r="A3" s="153"/>
      <c r="B3" s="76"/>
      <c r="C3" s="81"/>
      <c r="D3" s="82"/>
      <c r="E3" s="82"/>
      <c r="F3" s="82"/>
      <c r="G3" s="82"/>
      <c r="H3" s="82"/>
      <c r="I3" s="82"/>
      <c r="J3" s="83"/>
    </row>
    <row r="4" spans="1:18" ht="13.15" customHeight="1" x14ac:dyDescent="0.3">
      <c r="A4" s="153"/>
      <c r="B4" s="76"/>
      <c r="C4" s="81"/>
      <c r="D4" s="82"/>
      <c r="E4" s="82"/>
      <c r="F4" s="82"/>
      <c r="G4" s="82"/>
      <c r="H4" s="82"/>
      <c r="I4" s="82"/>
      <c r="J4" s="83"/>
    </row>
    <row r="5" spans="1:18" ht="13.15" customHeight="1" x14ac:dyDescent="0.3">
      <c r="A5" s="153"/>
      <c r="B5" s="77"/>
      <c r="C5" s="84"/>
      <c r="D5" s="85"/>
      <c r="E5" s="85"/>
      <c r="F5" s="85"/>
      <c r="G5" s="85"/>
      <c r="H5" s="85"/>
      <c r="I5" s="85"/>
      <c r="J5" s="86"/>
    </row>
    <row r="6" spans="1:18" ht="11.25" customHeight="1" x14ac:dyDescent="0.3">
      <c r="A6" s="153"/>
      <c r="B6" s="108"/>
      <c r="C6" s="71"/>
      <c r="D6" s="71"/>
      <c r="E6" s="71"/>
      <c r="F6" s="71"/>
      <c r="G6" s="71"/>
      <c r="H6" s="71"/>
      <c r="I6" s="71"/>
      <c r="J6" s="109"/>
    </row>
    <row r="7" spans="1:18" s="5" customFormat="1" ht="15.75" customHeight="1" x14ac:dyDescent="0.35">
      <c r="A7" s="154"/>
      <c r="B7" s="49" t="s">
        <v>22</v>
      </c>
      <c r="C7" s="87" t="s">
        <v>47</v>
      </c>
      <c r="D7" s="87"/>
      <c r="E7" s="87"/>
      <c r="F7" s="27"/>
      <c r="G7" s="88">
        <v>45611</v>
      </c>
      <c r="H7" s="88"/>
      <c r="I7" s="89"/>
      <c r="J7" s="28" t="s">
        <v>1</v>
      </c>
    </row>
    <row r="8" spans="1:18" s="5" customFormat="1" ht="15.75" customHeight="1" x14ac:dyDescent="0.35">
      <c r="A8" s="154"/>
      <c r="B8" s="49" t="s">
        <v>2</v>
      </c>
      <c r="C8" s="69" t="s">
        <v>46</v>
      </c>
      <c r="D8" s="69"/>
      <c r="E8" s="69"/>
      <c r="F8" s="29" t="s">
        <v>45</v>
      </c>
      <c r="G8" s="30" t="s">
        <v>3</v>
      </c>
      <c r="H8" s="71">
        <v>3</v>
      </c>
      <c r="I8" s="90"/>
      <c r="J8" s="28" t="s">
        <v>4</v>
      </c>
    </row>
    <row r="9" spans="1:18" s="5" customFormat="1" ht="15.75" customHeight="1" x14ac:dyDescent="0.35">
      <c r="A9" s="154"/>
      <c r="B9" s="49" t="s">
        <v>5</v>
      </c>
      <c r="C9" s="69" t="s">
        <v>48</v>
      </c>
      <c r="D9" s="69"/>
      <c r="E9" s="69"/>
      <c r="F9" s="70"/>
      <c r="G9" s="70"/>
      <c r="H9" s="71" t="s">
        <v>6</v>
      </c>
      <c r="I9" s="71"/>
      <c r="J9" s="31"/>
    </row>
    <row r="10" spans="1:18" s="5" customFormat="1" ht="15.75" customHeight="1" x14ac:dyDescent="0.35">
      <c r="A10" s="154"/>
      <c r="B10" s="49" t="s">
        <v>32</v>
      </c>
      <c r="C10" s="72" t="s">
        <v>49</v>
      </c>
      <c r="D10" s="72"/>
      <c r="E10" s="72"/>
      <c r="F10" s="92" t="s">
        <v>36</v>
      </c>
      <c r="G10" s="93"/>
      <c r="H10" s="93"/>
      <c r="I10" s="94" t="s">
        <v>23</v>
      </c>
      <c r="J10" s="94"/>
    </row>
    <row r="11" spans="1:18" ht="18.75" customHeight="1" x14ac:dyDescent="0.3">
      <c r="A11" s="153"/>
      <c r="B11" s="149" t="s">
        <v>30</v>
      </c>
      <c r="C11" s="150"/>
      <c r="D11" s="151"/>
      <c r="F11" s="152" t="s">
        <v>34</v>
      </c>
      <c r="G11" s="152"/>
      <c r="H11" s="152"/>
      <c r="I11" s="152"/>
      <c r="J11" s="152"/>
    </row>
    <row r="12" spans="1:18" s="8" customFormat="1" ht="23.5" customHeight="1" x14ac:dyDescent="0.35">
      <c r="A12" s="155"/>
      <c r="B12" s="50" t="s">
        <v>7</v>
      </c>
      <c r="C12" s="52">
        <v>88</v>
      </c>
      <c r="D12" s="52">
        <v>61</v>
      </c>
      <c r="E12" s="32"/>
      <c r="F12" s="73" t="s">
        <v>43</v>
      </c>
      <c r="G12" s="73" t="s">
        <v>8</v>
      </c>
      <c r="H12" s="73" t="s">
        <v>9</v>
      </c>
      <c r="I12" s="73" t="s">
        <v>41</v>
      </c>
      <c r="J12" s="96" t="s">
        <v>42</v>
      </c>
    </row>
    <row r="13" spans="1:18" s="8" customFormat="1" ht="23.5" customHeight="1" x14ac:dyDescent="0.35">
      <c r="A13" s="155"/>
      <c r="B13" s="50" t="s">
        <v>10</v>
      </c>
      <c r="C13" s="52">
        <v>23.17</v>
      </c>
      <c r="D13" s="52">
        <v>22</v>
      </c>
      <c r="E13" s="34"/>
      <c r="F13" s="74"/>
      <c r="G13" s="74"/>
      <c r="H13" s="74"/>
      <c r="I13" s="74"/>
      <c r="J13" s="97"/>
    </row>
    <row r="14" spans="1:18" s="8" customFormat="1" ht="23.5" customHeight="1" x14ac:dyDescent="0.35">
      <c r="A14" s="155"/>
      <c r="B14" s="50" t="s">
        <v>11</v>
      </c>
      <c r="C14" s="52">
        <v>19.04</v>
      </c>
      <c r="D14" s="52">
        <v>18.09</v>
      </c>
      <c r="E14" s="34"/>
      <c r="F14" s="74"/>
      <c r="G14" s="74"/>
      <c r="H14" s="74"/>
      <c r="I14" s="74"/>
      <c r="J14" s="97"/>
      <c r="P14" s="8">
        <v>0</v>
      </c>
      <c r="R14" s="8">
        <v>0</v>
      </c>
    </row>
    <row r="15" spans="1:18" s="8" customFormat="1" ht="23.5" customHeight="1" x14ac:dyDescent="0.35">
      <c r="A15" s="155"/>
      <c r="B15" s="50" t="s">
        <v>12</v>
      </c>
      <c r="C15" s="52">
        <v>6.44</v>
      </c>
      <c r="D15" s="52">
        <v>6.26</v>
      </c>
      <c r="E15" s="34"/>
      <c r="F15" s="64">
        <v>8</v>
      </c>
      <c r="G15" s="52">
        <v>10</v>
      </c>
      <c r="H15" s="37">
        <f>(G15*0.001*2.54/C$21*100)</f>
        <v>0.18392469225199132</v>
      </c>
      <c r="I15" s="37">
        <f>C$20/(1-(H15/100))</f>
        <v>24.411798805415533</v>
      </c>
      <c r="J15" s="38">
        <f>(F15/10)/I15</f>
        <v>3.2771038561178349E-2</v>
      </c>
      <c r="M15" s="9">
        <v>1</v>
      </c>
      <c r="N15" s="10">
        <v>0.45372050816696913</v>
      </c>
      <c r="O15" s="9">
        <v>10</v>
      </c>
      <c r="P15" s="11">
        <f>H15</f>
        <v>0.18392469225199132</v>
      </c>
      <c r="Q15" s="11">
        <v>16.665074095873386</v>
      </c>
      <c r="R15" s="11">
        <f>J15</f>
        <v>3.2771038561178349E-2</v>
      </c>
    </row>
    <row r="16" spans="1:18" s="8" customFormat="1" ht="23.5" customHeight="1" x14ac:dyDescent="0.35">
      <c r="A16" s="155"/>
      <c r="B16" s="50" t="s">
        <v>13</v>
      </c>
      <c r="C16" s="63">
        <f>(C13-C14)/(C14-C15)*100</f>
        <v>32.777777777777807</v>
      </c>
      <c r="D16" s="63">
        <f>(D13-D14)/(D14-D15)*100</f>
        <v>33.051563820794591</v>
      </c>
      <c r="E16" s="34"/>
      <c r="F16" s="64">
        <v>16</v>
      </c>
      <c r="G16" s="52">
        <v>20</v>
      </c>
      <c r="H16" s="37">
        <f>(G16*0.001*2.54/C$21*100)</f>
        <v>0.36784938450398263</v>
      </c>
      <c r="I16" s="37">
        <f>C$20/(1-(H16/100))</f>
        <v>24.456863902925384</v>
      </c>
      <c r="J16" s="38">
        <f t="shared" ref="J16:J22" si="0">(F16/10)/I16</f>
        <v>6.5421306932513842E-2</v>
      </c>
      <c r="M16" s="9">
        <v>2</v>
      </c>
      <c r="N16" s="10">
        <v>0.90744101633393826</v>
      </c>
      <c r="O16" s="9">
        <v>20</v>
      </c>
      <c r="P16" s="11">
        <f t="shared" ref="P16:P30" si="1">H16</f>
        <v>0.36784938450398263</v>
      </c>
      <c r="Q16" s="11">
        <v>16.71133965811218</v>
      </c>
      <c r="R16" s="11">
        <f t="shared" ref="R16:R30" si="2">J16</f>
        <v>6.5421306932513842E-2</v>
      </c>
    </row>
    <row r="17" spans="1:18" s="8" customFormat="1" ht="23.5" customHeight="1" x14ac:dyDescent="0.35">
      <c r="A17" s="155"/>
      <c r="B17" s="50" t="s">
        <v>14</v>
      </c>
      <c r="C17" s="55">
        <f>(C16+D16)/2</f>
        <v>32.914670799286199</v>
      </c>
      <c r="D17" s="56"/>
      <c r="E17" s="34"/>
      <c r="F17" s="64">
        <v>31</v>
      </c>
      <c r="G17" s="52">
        <v>30</v>
      </c>
      <c r="H17" s="37">
        <f>(G17*0.001*2.54/C$21*100)</f>
        <v>0.5517740767559739</v>
      </c>
      <c r="I17" s="37">
        <f>C$20/(1-(H17/100))</f>
        <v>24.502095691879227</v>
      </c>
      <c r="J17" s="38">
        <f t="shared" si="0"/>
        <v>0.12651978993892504</v>
      </c>
      <c r="M17" s="9">
        <v>3</v>
      </c>
      <c r="N17" s="10">
        <v>1.3611615245009074</v>
      </c>
      <c r="O17" s="9">
        <v>30</v>
      </c>
      <c r="P17" s="11">
        <f t="shared" si="1"/>
        <v>0.5517740767559739</v>
      </c>
      <c r="Q17" s="11">
        <v>16.757862820316095</v>
      </c>
      <c r="R17" s="11">
        <f t="shared" si="2"/>
        <v>0.12651978993892504</v>
      </c>
    </row>
    <row r="18" spans="1:18" s="8" customFormat="1" ht="23.5" customHeight="1" x14ac:dyDescent="0.35">
      <c r="A18" s="155"/>
      <c r="B18" s="146" t="s">
        <v>53</v>
      </c>
      <c r="C18" s="147"/>
      <c r="D18" s="148"/>
      <c r="E18" s="34"/>
      <c r="F18" s="64">
        <v>46</v>
      </c>
      <c r="G18" s="52">
        <v>40</v>
      </c>
      <c r="H18" s="37">
        <f>(G18*0.001*2.54/C$21*100)</f>
        <v>0.73569876900796527</v>
      </c>
      <c r="I18" s="37">
        <f>C$20/(1-(H18/100))</f>
        <v>24.547495098854053</v>
      </c>
      <c r="J18" s="38">
        <f t="shared" si="0"/>
        <v>0.18739182883938088</v>
      </c>
      <c r="M18" s="9">
        <v>4.5</v>
      </c>
      <c r="N18" s="10">
        <v>2.041742286751361</v>
      </c>
      <c r="O18" s="9">
        <v>40</v>
      </c>
      <c r="P18" s="11">
        <f t="shared" si="1"/>
        <v>0.73569876900796527</v>
      </c>
      <c r="Q18" s="11">
        <v>16.804645739910313</v>
      </c>
      <c r="R18" s="11">
        <f t="shared" si="2"/>
        <v>0.18739182883938088</v>
      </c>
    </row>
    <row r="19" spans="1:18" s="8" customFormat="1" ht="23.5" customHeight="1" x14ac:dyDescent="0.35">
      <c r="A19" s="155"/>
      <c r="B19" s="50" t="s">
        <v>15</v>
      </c>
      <c r="C19" s="65">
        <v>5.57</v>
      </c>
      <c r="D19" s="66"/>
      <c r="E19" s="34"/>
      <c r="F19" s="64">
        <v>50</v>
      </c>
      <c r="G19" s="52">
        <v>50</v>
      </c>
      <c r="H19" s="37">
        <f>(G19*0.001*2.54/C$21*100)</f>
        <v>0.91962346125995653</v>
      </c>
      <c r="I19" s="37">
        <f>C$20/(1-(H19/100))</f>
        <v>24.593063057306946</v>
      </c>
      <c r="J19" s="38">
        <f t="shared" si="0"/>
        <v>0.20330936363432897</v>
      </c>
      <c r="M19" s="9">
        <v>5.5</v>
      </c>
      <c r="N19" s="10">
        <v>2.4954627949183301</v>
      </c>
      <c r="O19" s="9">
        <v>60</v>
      </c>
      <c r="P19" s="11">
        <f t="shared" si="1"/>
        <v>0.91962346125995653</v>
      </c>
      <c r="Q19" s="11">
        <v>16.898999602104425</v>
      </c>
      <c r="R19" s="11">
        <f t="shared" si="2"/>
        <v>0.20330936363432897</v>
      </c>
    </row>
    <row r="20" spans="1:18" s="8" customFormat="1" ht="23.5" customHeight="1" x14ac:dyDescent="0.35">
      <c r="A20" s="155"/>
      <c r="B20" s="50" t="s">
        <v>24</v>
      </c>
      <c r="C20" s="67">
        <f>PI()*C19^2/4</f>
        <v>24.366899479589495</v>
      </c>
      <c r="D20" s="68"/>
      <c r="E20" s="34"/>
      <c r="F20" s="64">
        <v>53</v>
      </c>
      <c r="G20" s="52">
        <v>60</v>
      </c>
      <c r="H20" s="37">
        <f>(G20*0.001*2.54/C$21*100)</f>
        <v>1.1035481535119478</v>
      </c>
      <c r="I20" s="37">
        <f>C$20/(1-(H20/100))</f>
        <v>24.638800507639036</v>
      </c>
      <c r="J20" s="38">
        <f t="shared" si="0"/>
        <v>0.21510787419853425</v>
      </c>
      <c r="M20" s="9">
        <v>7</v>
      </c>
      <c r="N20" s="10">
        <v>3.1760435571687839</v>
      </c>
      <c r="O20" s="9">
        <v>80</v>
      </c>
      <c r="P20" s="11">
        <f t="shared" si="1"/>
        <v>1.1035481535119478</v>
      </c>
      <c r="Q20" s="11">
        <v>16.994418993419881</v>
      </c>
      <c r="R20" s="11">
        <f t="shared" si="2"/>
        <v>0.21510787419853425</v>
      </c>
    </row>
    <row r="21" spans="1:18" s="8" customFormat="1" ht="23.5" customHeight="1" x14ac:dyDescent="0.35">
      <c r="A21" s="155"/>
      <c r="B21" s="50" t="s">
        <v>16</v>
      </c>
      <c r="C21" s="65">
        <v>13.81</v>
      </c>
      <c r="D21" s="66"/>
      <c r="E21" s="34"/>
      <c r="F21" s="64">
        <v>54</v>
      </c>
      <c r="G21" s="52">
        <v>70</v>
      </c>
      <c r="H21" s="37">
        <f>(G21*0.001*2.54/C$21*100)</f>
        <v>1.2874728457639393</v>
      </c>
      <c r="I21" s="37">
        <f>C$20/(1-(H21/100))</f>
        <v>24.684708397260231</v>
      </c>
      <c r="J21" s="38">
        <f t="shared" si="0"/>
        <v>0.21875891394363603</v>
      </c>
      <c r="M21" s="9">
        <v>8.5</v>
      </c>
      <c r="N21" s="10">
        <v>3.8566243194192373</v>
      </c>
      <c r="O21" s="9">
        <v>100</v>
      </c>
      <c r="P21" s="11">
        <f t="shared" si="1"/>
        <v>1.2874728457639393</v>
      </c>
      <c r="Q21" s="11">
        <v>17.0909220657277</v>
      </c>
      <c r="R21" s="11">
        <f t="shared" si="2"/>
        <v>0.21875891394363603</v>
      </c>
    </row>
    <row r="22" spans="1:18" s="8" customFormat="1" ht="23.5" customHeight="1" x14ac:dyDescent="0.35">
      <c r="A22" s="155"/>
      <c r="B22" s="50" t="s">
        <v>25</v>
      </c>
      <c r="C22" s="67">
        <f>C20*C21</f>
        <v>336.50688181313092</v>
      </c>
      <c r="D22" s="68"/>
      <c r="E22" s="34"/>
      <c r="F22" s="64">
        <v>52</v>
      </c>
      <c r="G22" s="52">
        <v>80</v>
      </c>
      <c r="H22" s="37">
        <f>(G22*0.001*2.54/C$21*100)</f>
        <v>1.4713975380159305</v>
      </c>
      <c r="I22" s="37">
        <f>C$20/(1-(H22/100))</f>
        <v>24.730787680654593</v>
      </c>
      <c r="J22" s="38">
        <f t="shared" si="0"/>
        <v>0.21026422882873427</v>
      </c>
      <c r="M22" s="9">
        <v>10</v>
      </c>
      <c r="N22" s="10">
        <v>4.5372050816696907</v>
      </c>
      <c r="O22" s="9">
        <v>120</v>
      </c>
      <c r="P22" s="11">
        <f t="shared" si="1"/>
        <v>1.4713975380159305</v>
      </c>
      <c r="Q22" s="11">
        <v>17.188527385556252</v>
      </c>
      <c r="R22" s="11">
        <f t="shared" si="2"/>
        <v>0.21026422882873427</v>
      </c>
    </row>
    <row r="23" spans="1:18" s="8" customFormat="1" ht="23.5" customHeight="1" x14ac:dyDescent="0.35">
      <c r="A23" s="155"/>
      <c r="B23" s="50" t="s">
        <v>17</v>
      </c>
      <c r="C23" s="65">
        <v>584</v>
      </c>
      <c r="D23" s="66"/>
      <c r="E23" s="34"/>
      <c r="F23" s="64"/>
      <c r="G23" s="52"/>
      <c r="H23" s="37"/>
      <c r="I23" s="37"/>
      <c r="J23" s="38"/>
      <c r="M23" s="9">
        <v>11.5</v>
      </c>
      <c r="N23" s="10">
        <v>5.2177858439201446</v>
      </c>
      <c r="O23" s="9">
        <v>140</v>
      </c>
      <c r="P23" s="11">
        <f t="shared" si="1"/>
        <v>0</v>
      </c>
      <c r="Q23" s="11">
        <v>17.287253945999726</v>
      </c>
      <c r="R23" s="11">
        <f t="shared" si="2"/>
        <v>0</v>
      </c>
    </row>
    <row r="24" spans="1:18" s="8" customFormat="1" ht="23.5" customHeight="1" x14ac:dyDescent="0.35">
      <c r="A24" s="155"/>
      <c r="B24" s="50" t="s">
        <v>37</v>
      </c>
      <c r="C24" s="59">
        <f>C23/C22</f>
        <v>1.7354771375056366</v>
      </c>
      <c r="D24" s="60"/>
      <c r="E24" s="34"/>
      <c r="F24" s="64"/>
      <c r="G24" s="52"/>
      <c r="H24" s="37"/>
      <c r="I24" s="37"/>
      <c r="J24" s="38"/>
      <c r="M24" s="9">
        <v>12.5</v>
      </c>
      <c r="N24" s="10">
        <v>5.6715063520871141</v>
      </c>
      <c r="O24" s="9">
        <v>160</v>
      </c>
      <c r="P24" s="11">
        <f t="shared" si="1"/>
        <v>0</v>
      </c>
      <c r="Q24" s="11">
        <v>17.387121179039301</v>
      </c>
      <c r="R24" s="11">
        <f t="shared" si="2"/>
        <v>0</v>
      </c>
    </row>
    <row r="25" spans="1:18" s="8" customFormat="1" ht="23.5" customHeight="1" x14ac:dyDescent="0.35">
      <c r="A25" s="155"/>
      <c r="B25" s="50" t="s">
        <v>38</v>
      </c>
      <c r="C25" s="59">
        <f>C24/(1+(C17/100))</f>
        <v>1.3057077349470114</v>
      </c>
      <c r="D25" s="60"/>
      <c r="E25" s="34"/>
      <c r="F25" s="35"/>
      <c r="G25" s="36"/>
      <c r="H25" s="37"/>
      <c r="I25" s="37"/>
      <c r="J25" s="38"/>
      <c r="M25" s="9">
        <v>14</v>
      </c>
      <c r="N25" s="10">
        <v>6.3520871143375679</v>
      </c>
      <c r="O25" s="9">
        <v>180</v>
      </c>
      <c r="P25" s="11">
        <f t="shared" si="1"/>
        <v>0</v>
      </c>
      <c r="Q25" s="11">
        <v>17.48814896829391</v>
      </c>
      <c r="R25" s="11">
        <f t="shared" si="2"/>
        <v>0</v>
      </c>
    </row>
    <row r="26" spans="1:18" s="8" customFormat="1" ht="23.5" customHeight="1" x14ac:dyDescent="0.35">
      <c r="A26" s="155"/>
      <c r="B26" s="50" t="s">
        <v>18</v>
      </c>
      <c r="C26" s="61">
        <f>C21/C19</f>
        <v>2.4793536804308798</v>
      </c>
      <c r="D26" s="62"/>
      <c r="E26" s="34"/>
      <c r="F26" s="35"/>
      <c r="G26" s="36"/>
      <c r="H26" s="37"/>
      <c r="I26" s="37"/>
      <c r="J26" s="38"/>
      <c r="M26" s="9">
        <v>14.5</v>
      </c>
      <c r="N26" s="10">
        <v>6.5789473684210522</v>
      </c>
      <c r="O26" s="9">
        <v>200</v>
      </c>
      <c r="P26" s="11">
        <f t="shared" si="1"/>
        <v>0</v>
      </c>
      <c r="Q26" s="11">
        <v>17.590357662218132</v>
      </c>
      <c r="R26" s="11">
        <f t="shared" si="2"/>
        <v>0</v>
      </c>
    </row>
    <row r="27" spans="1:18" s="8" customFormat="1" ht="23.5" customHeight="1" x14ac:dyDescent="0.35">
      <c r="A27" s="155"/>
      <c r="B27" s="50" t="s">
        <v>19</v>
      </c>
      <c r="C27" s="57">
        <v>1</v>
      </c>
      <c r="D27" s="58"/>
      <c r="E27" s="34"/>
      <c r="F27" s="35"/>
      <c r="G27" s="36"/>
      <c r="H27" s="37"/>
      <c r="I27" s="37"/>
      <c r="J27" s="38"/>
      <c r="M27" s="9">
        <v>15.5</v>
      </c>
      <c r="N27" s="10">
        <v>7.0326678765880208</v>
      </c>
      <c r="O27" s="9">
        <v>220</v>
      </c>
      <c r="P27" s="11">
        <f t="shared" si="1"/>
        <v>0</v>
      </c>
      <c r="Q27" s="11">
        <v>17.693768087765587</v>
      </c>
      <c r="R27" s="11">
        <f t="shared" si="2"/>
        <v>0</v>
      </c>
    </row>
    <row r="28" spans="1:18" s="8" customFormat="1" ht="23.5" customHeight="1" x14ac:dyDescent="0.25">
      <c r="A28" s="155"/>
      <c r="B28" s="23"/>
      <c r="C28" s="24"/>
      <c r="D28" s="24"/>
      <c r="E28" s="34"/>
      <c r="F28" s="35"/>
      <c r="G28" s="36"/>
      <c r="H28" s="37"/>
      <c r="I28" s="37"/>
      <c r="J28" s="38"/>
      <c r="M28" s="9">
        <v>16</v>
      </c>
      <c r="N28" s="10">
        <v>7.259528130671506</v>
      </c>
      <c r="O28" s="9">
        <v>240</v>
      </c>
      <c r="P28" s="11">
        <f t="shared" si="1"/>
        <v>0</v>
      </c>
      <c r="Q28" s="11">
        <v>17.798401564537155</v>
      </c>
      <c r="R28" s="11">
        <f t="shared" si="2"/>
        <v>0</v>
      </c>
    </row>
    <row r="29" spans="1:18" ht="23.25" customHeight="1" x14ac:dyDescent="0.3">
      <c r="A29" s="153"/>
      <c r="B29" s="143" t="s">
        <v>20</v>
      </c>
      <c r="C29" s="144"/>
      <c r="D29" s="145"/>
      <c r="F29" s="10"/>
      <c r="G29" s="9"/>
      <c r="H29" s="11"/>
      <c r="I29" s="11"/>
      <c r="J29" s="12"/>
      <c r="M29" s="9">
        <v>16.5</v>
      </c>
      <c r="N29" s="10">
        <v>7.4863883847549904</v>
      </c>
      <c r="O29" s="9">
        <v>260</v>
      </c>
      <c r="P29" s="11">
        <f t="shared" si="1"/>
        <v>0</v>
      </c>
      <c r="Q29" s="11">
        <v>17.904279919434163</v>
      </c>
      <c r="R29" s="11">
        <f t="shared" si="2"/>
        <v>0</v>
      </c>
    </row>
    <row r="30" spans="1:18" ht="19.149999999999999" customHeight="1" x14ac:dyDescent="0.3">
      <c r="A30" s="153"/>
      <c r="B30" s="51" t="s">
        <v>21</v>
      </c>
      <c r="C30" s="54">
        <f>C17</f>
        <v>32.914670799286199</v>
      </c>
      <c r="D30" s="54"/>
      <c r="F30" s="10"/>
      <c r="G30" s="9"/>
      <c r="H30" s="11"/>
      <c r="I30" s="11"/>
      <c r="J30" s="12"/>
      <c r="M30" s="9">
        <v>17</v>
      </c>
      <c r="N30" s="10">
        <v>7.7132486388384747</v>
      </c>
      <c r="O30" s="9">
        <v>280</v>
      </c>
      <c r="P30" s="11">
        <f t="shared" si="1"/>
        <v>0</v>
      </c>
      <c r="Q30" s="11">
        <v>18.011425501837714</v>
      </c>
      <c r="R30" s="11">
        <f t="shared" si="2"/>
        <v>0</v>
      </c>
    </row>
    <row r="31" spans="1:18" ht="23.5" customHeight="1" x14ac:dyDescent="0.3">
      <c r="A31" s="153"/>
      <c r="B31" s="51" t="s">
        <v>39</v>
      </c>
      <c r="C31" s="53">
        <f>C24</f>
        <v>1.7354771375056366</v>
      </c>
      <c r="D31" s="53"/>
      <c r="F31" s="10"/>
      <c r="G31" s="9"/>
      <c r="H31" s="11"/>
      <c r="I31" s="11"/>
      <c r="J31" s="12"/>
      <c r="M31" s="9"/>
      <c r="N31" s="10"/>
      <c r="O31" s="9"/>
      <c r="P31" s="11"/>
      <c r="Q31" s="11"/>
      <c r="R31" s="11"/>
    </row>
    <row r="32" spans="1:18" ht="23.5" customHeight="1" x14ac:dyDescent="0.3">
      <c r="A32" s="153"/>
      <c r="B32" s="51" t="s">
        <v>40</v>
      </c>
      <c r="C32" s="53">
        <f>C25</f>
        <v>1.3057077349470114</v>
      </c>
      <c r="D32" s="53"/>
      <c r="F32" s="10"/>
      <c r="G32" s="9"/>
      <c r="H32" s="11"/>
      <c r="I32" s="11"/>
      <c r="J32" s="12"/>
      <c r="M32" s="9"/>
      <c r="N32" s="10"/>
      <c r="O32" s="9"/>
      <c r="P32" s="11"/>
      <c r="Q32" s="11"/>
      <c r="R32" s="11"/>
    </row>
    <row r="33" spans="1:62" ht="23.5" customHeight="1" x14ac:dyDescent="0.3">
      <c r="A33" s="153"/>
      <c r="B33" s="51" t="s">
        <v>26</v>
      </c>
      <c r="C33" s="113">
        <f>MAX(J15:J24)</f>
        <v>0.21875891394363603</v>
      </c>
      <c r="D33" s="113"/>
      <c r="F33" s="10"/>
      <c r="G33" s="9"/>
      <c r="H33" s="11"/>
      <c r="I33" s="13"/>
      <c r="J33" s="12"/>
      <c r="M33" s="9"/>
      <c r="N33" s="10"/>
      <c r="O33" s="9"/>
      <c r="P33" s="11"/>
      <c r="Q33" s="11"/>
      <c r="R33" s="11"/>
    </row>
    <row r="34" spans="1:62" ht="23.5" customHeight="1" x14ac:dyDescent="0.3">
      <c r="A34" s="153"/>
      <c r="F34" s="10"/>
      <c r="G34" s="9"/>
      <c r="H34" s="11"/>
      <c r="I34" s="13"/>
      <c r="J34" s="11"/>
      <c r="M34" s="9"/>
      <c r="N34" s="10"/>
      <c r="O34" s="9"/>
      <c r="P34" s="11"/>
      <c r="Q34" s="11"/>
      <c r="R34" s="11"/>
    </row>
    <row r="35" spans="1:62" ht="1.5" customHeight="1" x14ac:dyDescent="0.3">
      <c r="A35" s="153"/>
      <c r="B35" s="48"/>
      <c r="C35" s="42"/>
      <c r="D35" s="42"/>
      <c r="E35" s="44"/>
      <c r="F35" s="135"/>
      <c r="G35" s="135"/>
      <c r="H35" s="135"/>
      <c r="I35" s="135"/>
      <c r="J35" s="135"/>
      <c r="M35" s="9"/>
      <c r="N35" s="10"/>
      <c r="O35" s="9"/>
      <c r="P35" s="11"/>
      <c r="Q35" s="11"/>
      <c r="R35" s="11"/>
    </row>
    <row r="36" spans="1:62" ht="23.5" customHeight="1" x14ac:dyDescent="0.3">
      <c r="A36" s="153"/>
      <c r="B36" s="45"/>
      <c r="C36" s="45"/>
      <c r="D36" s="45"/>
      <c r="E36" s="45"/>
      <c r="F36" s="136"/>
      <c r="G36" s="136"/>
      <c r="H36" s="136"/>
      <c r="I36" s="136"/>
      <c r="J36" s="136"/>
    </row>
    <row r="37" spans="1:62" ht="23.5" customHeight="1" x14ac:dyDescent="0.3">
      <c r="A37" s="153"/>
      <c r="B37" s="14"/>
      <c r="C37" s="43"/>
      <c r="D37" s="43"/>
      <c r="E37" s="43"/>
      <c r="F37" s="137"/>
      <c r="G37" s="137"/>
      <c r="H37" s="137"/>
      <c r="I37" s="137"/>
      <c r="J37" s="137"/>
    </row>
    <row r="38" spans="1:62" ht="23.5" customHeight="1" x14ac:dyDescent="0.3">
      <c r="A38" s="153"/>
      <c r="B38" s="43"/>
      <c r="C38" s="43"/>
      <c r="D38" s="43"/>
      <c r="F38" s="141" t="s">
        <v>52</v>
      </c>
      <c r="G38" s="141"/>
      <c r="H38" s="141"/>
      <c r="I38" s="141"/>
      <c r="J38" s="142"/>
    </row>
    <row r="39" spans="1:62" ht="23.5" customHeight="1" x14ac:dyDescent="0.3">
      <c r="A39" s="153"/>
      <c r="B39" s="43"/>
      <c r="C39" s="43"/>
      <c r="D39" s="43"/>
      <c r="E39" s="140"/>
      <c r="F39" s="138"/>
      <c r="G39" s="138"/>
      <c r="H39" s="138"/>
      <c r="I39" s="138"/>
      <c r="J39" s="139"/>
    </row>
    <row r="40" spans="1:62" ht="23.5" customHeight="1" x14ac:dyDescent="0.3">
      <c r="A40" s="153"/>
      <c r="B40" s="14"/>
      <c r="C40" s="15"/>
      <c r="D40" s="15"/>
      <c r="E40" s="140"/>
      <c r="F40" s="138"/>
      <c r="G40" s="138"/>
      <c r="H40" s="138"/>
      <c r="I40" s="138"/>
      <c r="J40" s="139"/>
    </row>
    <row r="41" spans="1:62" ht="23.5" customHeight="1" x14ac:dyDescent="0.3">
      <c r="A41" s="153"/>
      <c r="B41" s="14"/>
      <c r="C41" s="15"/>
      <c r="D41" s="15"/>
      <c r="E41" s="140"/>
      <c r="F41" s="138"/>
      <c r="G41" s="138"/>
      <c r="H41" s="138"/>
      <c r="I41" s="138"/>
      <c r="J41" s="139"/>
    </row>
    <row r="42" spans="1:62" ht="23.5" customHeight="1" x14ac:dyDescent="0.3">
      <c r="A42" s="153"/>
      <c r="B42" s="14"/>
      <c r="C42" s="15"/>
      <c r="D42" s="15"/>
      <c r="E42" s="140"/>
      <c r="F42" s="138"/>
      <c r="G42" s="138"/>
      <c r="H42" s="138"/>
      <c r="I42" s="138"/>
      <c r="J42" s="139"/>
    </row>
    <row r="43" spans="1:62" s="17" customFormat="1" ht="23.5" customHeight="1" x14ac:dyDescent="0.3">
      <c r="A43" s="153"/>
      <c r="B43" s="2"/>
      <c r="C43" s="1"/>
      <c r="D43" s="1"/>
      <c r="E43" s="140"/>
      <c r="F43" s="138"/>
      <c r="G43" s="138"/>
      <c r="H43" s="138"/>
      <c r="I43" s="138"/>
      <c r="J43" s="13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s="17" customFormat="1" ht="23.5" customHeight="1" x14ac:dyDescent="0.3">
      <c r="A44" s="153"/>
      <c r="B44" s="2"/>
      <c r="C44" s="1"/>
      <c r="D44" s="1"/>
      <c r="E44" s="140"/>
      <c r="F44" s="138"/>
      <c r="G44" s="138"/>
      <c r="H44" s="138"/>
      <c r="I44" s="138"/>
      <c r="J44" s="13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s="17" customFormat="1" ht="23.5" customHeight="1" x14ac:dyDescent="0.3">
      <c r="A45" s="153"/>
      <c r="B45" s="18"/>
      <c r="C45" s="114"/>
      <c r="D45" s="114"/>
      <c r="E45" s="114"/>
      <c r="F45" s="95"/>
      <c r="G45" s="95"/>
      <c r="H45" s="110"/>
      <c r="I45" s="110"/>
      <c r="J45" s="1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s="17" customFormat="1" ht="17.25" customHeight="1" x14ac:dyDescent="0.3">
      <c r="A46" s="153"/>
      <c r="B46" s="2"/>
      <c r="C46" s="1"/>
      <c r="D46" s="1"/>
      <c r="E46" s="95" t="s">
        <v>50</v>
      </c>
      <c r="F46" s="95"/>
      <c r="G46" s="1"/>
      <c r="H46" s="95" t="s">
        <v>51</v>
      </c>
      <c r="I46" s="95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s="17" customFormat="1" ht="17.25" customHeight="1" thickBot="1" x14ac:dyDescent="0.35">
      <c r="A47" s="153"/>
      <c r="B47" s="19"/>
      <c r="C47" s="20"/>
      <c r="D47" s="20"/>
      <c r="E47" s="20"/>
      <c r="F47" s="20"/>
      <c r="G47" s="20"/>
      <c r="H47" s="20"/>
      <c r="I47" s="20"/>
      <c r="J47" s="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ht="13.5" thickTop="1" x14ac:dyDescent="0.3"/>
  </sheetData>
  <mergeCells count="30">
    <mergeCell ref="F38:J38"/>
    <mergeCell ref="F39:J44"/>
    <mergeCell ref="B29:D29"/>
    <mergeCell ref="B18:D18"/>
    <mergeCell ref="E46:F46"/>
    <mergeCell ref="H46:I46"/>
    <mergeCell ref="J12:J14"/>
    <mergeCell ref="I12:I14"/>
    <mergeCell ref="H45:J45"/>
    <mergeCell ref="C33:D33"/>
    <mergeCell ref="C45:E45"/>
    <mergeCell ref="F45:G45"/>
    <mergeCell ref="B1:B5"/>
    <mergeCell ref="C1:J5"/>
    <mergeCell ref="C7:E7"/>
    <mergeCell ref="G7:I7"/>
    <mergeCell ref="C8:E8"/>
    <mergeCell ref="H8:I8"/>
    <mergeCell ref="B6:J6"/>
    <mergeCell ref="C9:E9"/>
    <mergeCell ref="F9:G9"/>
    <mergeCell ref="H9:I9"/>
    <mergeCell ref="C10:E10"/>
    <mergeCell ref="F12:F14"/>
    <mergeCell ref="G12:G14"/>
    <mergeCell ref="H12:H14"/>
    <mergeCell ref="F11:J11"/>
    <mergeCell ref="F10:H10"/>
    <mergeCell ref="I10:J10"/>
    <mergeCell ref="B11:D11"/>
  </mergeCells>
  <pageMargins left="0.56000000000000005" right="0.23622047244094491" top="0.70866141732283472" bottom="0.78740157480314965" header="0" footer="0"/>
  <pageSetup scale="67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48"/>
  <sheetViews>
    <sheetView view="pageBreakPreview" topLeftCell="A7" zoomScale="90" zoomScaleNormal="70" zoomScaleSheetLayoutView="90" workbookViewId="0">
      <selection activeCell="I41" sqref="H41:I41"/>
    </sheetView>
  </sheetViews>
  <sheetFormatPr baseColWidth="10" defaultColWidth="11.54296875" defaultRowHeight="13" x14ac:dyDescent="0.3"/>
  <cols>
    <col min="1" max="1" width="37.1796875" style="1" customWidth="1"/>
    <col min="2" max="3" width="10.1796875" style="1" customWidth="1"/>
    <col min="4" max="4" width="25" style="1" customWidth="1"/>
    <col min="5" max="5" width="10.1796875" style="1" customWidth="1"/>
    <col min="6" max="6" width="11" style="1" customWidth="1"/>
    <col min="7" max="7" width="10.1796875" style="1" customWidth="1"/>
    <col min="8" max="8" width="11.81640625" style="1" customWidth="1"/>
    <col min="9" max="9" width="12.81640625" style="1" customWidth="1"/>
    <col min="10" max="10" width="10.1796875" style="1" customWidth="1"/>
    <col min="11" max="23" width="9.7265625" style="1" customWidth="1"/>
    <col min="24" max="16384" width="11.54296875" style="1"/>
  </cols>
  <sheetData>
    <row r="1" spans="1:17" ht="15.75" customHeight="1" thickTop="1" x14ac:dyDescent="0.3">
      <c r="A1" s="122"/>
      <c r="B1" s="125" t="s">
        <v>0</v>
      </c>
      <c r="C1" s="126"/>
      <c r="D1" s="126"/>
      <c r="E1" s="126"/>
      <c r="F1" s="126"/>
      <c r="G1" s="126"/>
      <c r="H1" s="126"/>
      <c r="I1" s="127"/>
    </row>
    <row r="2" spans="1:17" ht="15" customHeight="1" x14ac:dyDescent="0.3">
      <c r="A2" s="123"/>
      <c r="B2" s="128"/>
      <c r="C2" s="129"/>
      <c r="D2" s="129"/>
      <c r="E2" s="129"/>
      <c r="F2" s="129"/>
      <c r="G2" s="129"/>
      <c r="H2" s="129"/>
      <c r="I2" s="130"/>
    </row>
    <row r="3" spans="1:17" ht="13.15" customHeight="1" x14ac:dyDescent="0.3">
      <c r="A3" s="123"/>
      <c r="B3" s="128"/>
      <c r="C3" s="129"/>
      <c r="D3" s="129"/>
      <c r="E3" s="129"/>
      <c r="F3" s="129"/>
      <c r="G3" s="129"/>
      <c r="H3" s="129"/>
      <c r="I3" s="130"/>
    </row>
    <row r="4" spans="1:17" ht="13.15" customHeight="1" x14ac:dyDescent="0.3">
      <c r="A4" s="123"/>
      <c r="B4" s="128"/>
      <c r="C4" s="129"/>
      <c r="D4" s="129"/>
      <c r="E4" s="129"/>
      <c r="F4" s="129"/>
      <c r="G4" s="129"/>
      <c r="H4" s="129"/>
      <c r="I4" s="130"/>
    </row>
    <row r="5" spans="1:17" ht="13.15" customHeight="1" x14ac:dyDescent="0.3">
      <c r="A5" s="124"/>
      <c r="B5" s="131"/>
      <c r="C5" s="132"/>
      <c r="D5" s="132"/>
      <c r="E5" s="132"/>
      <c r="F5" s="132"/>
      <c r="G5" s="132"/>
      <c r="H5" s="132"/>
      <c r="I5" s="133"/>
    </row>
    <row r="6" spans="1:17" ht="11.25" customHeight="1" x14ac:dyDescent="0.3">
      <c r="A6" s="23"/>
      <c r="B6" s="24"/>
      <c r="C6" s="24"/>
      <c r="D6" s="24"/>
      <c r="E6" s="24"/>
      <c r="F6" s="24"/>
      <c r="G6" s="24"/>
      <c r="H6" s="24"/>
      <c r="I6" s="25"/>
    </row>
    <row r="7" spans="1:17" s="5" customFormat="1" ht="15.75" customHeight="1" x14ac:dyDescent="0.35">
      <c r="A7" s="26" t="s">
        <v>22</v>
      </c>
      <c r="B7" s="134" t="s">
        <v>27</v>
      </c>
      <c r="C7" s="134"/>
      <c r="D7" s="134"/>
      <c r="E7" s="27"/>
      <c r="F7" s="88">
        <v>45104</v>
      </c>
      <c r="G7" s="88"/>
      <c r="H7" s="89"/>
      <c r="I7" s="28" t="s">
        <v>1</v>
      </c>
    </row>
    <row r="8" spans="1:17" s="5" customFormat="1" ht="15.75" customHeight="1" x14ac:dyDescent="0.35">
      <c r="A8" s="26" t="s">
        <v>2</v>
      </c>
      <c r="B8" s="94" t="s">
        <v>28</v>
      </c>
      <c r="C8" s="94"/>
      <c r="D8" s="94"/>
      <c r="E8" s="29" t="s">
        <v>35</v>
      </c>
      <c r="F8" s="30" t="s">
        <v>3</v>
      </c>
      <c r="G8" s="71">
        <v>3</v>
      </c>
      <c r="H8" s="90"/>
      <c r="I8" s="28" t="s">
        <v>4</v>
      </c>
    </row>
    <row r="9" spans="1:17" s="5" customFormat="1" ht="15.75" customHeight="1" x14ac:dyDescent="0.35">
      <c r="A9" s="26" t="s">
        <v>5</v>
      </c>
      <c r="B9" s="94" t="s">
        <v>29</v>
      </c>
      <c r="C9" s="94"/>
      <c r="D9" s="94"/>
      <c r="E9" s="70"/>
      <c r="F9" s="70"/>
      <c r="G9" s="71" t="s">
        <v>6</v>
      </c>
      <c r="H9" s="71"/>
      <c r="I9" s="31"/>
    </row>
    <row r="10" spans="1:17" s="5" customFormat="1" ht="15.75" customHeight="1" x14ac:dyDescent="0.35">
      <c r="A10" s="26" t="s">
        <v>32</v>
      </c>
      <c r="B10" s="94" t="s">
        <v>33</v>
      </c>
      <c r="C10" s="94"/>
      <c r="D10" s="94"/>
      <c r="E10" s="92" t="s">
        <v>36</v>
      </c>
      <c r="F10" s="93"/>
      <c r="G10" s="93"/>
      <c r="H10" s="94" t="s">
        <v>23</v>
      </c>
      <c r="I10" s="94"/>
    </row>
    <row r="11" spans="1:17" ht="18.75" customHeight="1" x14ac:dyDescent="0.3">
      <c r="A11" s="4"/>
      <c r="B11" s="6"/>
      <c r="C11" s="7"/>
      <c r="E11" s="91" t="s">
        <v>34</v>
      </c>
      <c r="F11" s="91"/>
      <c r="G11" s="91"/>
      <c r="H11" s="91"/>
      <c r="I11" s="91"/>
    </row>
    <row r="12" spans="1:17" s="8" customFormat="1" ht="23.5" customHeight="1" x14ac:dyDescent="0.35">
      <c r="A12" s="107" t="s">
        <v>30</v>
      </c>
      <c r="B12" s="107"/>
      <c r="C12" s="107"/>
      <c r="D12" s="32"/>
      <c r="E12" s="73" t="s">
        <v>43</v>
      </c>
      <c r="F12" s="73" t="s">
        <v>8</v>
      </c>
      <c r="G12" s="73" t="s">
        <v>9</v>
      </c>
      <c r="H12" s="73" t="s">
        <v>41</v>
      </c>
      <c r="I12" s="96" t="s">
        <v>42</v>
      </c>
    </row>
    <row r="13" spans="1:17" s="8" customFormat="1" ht="23.5" customHeight="1" x14ac:dyDescent="0.35">
      <c r="A13" s="41" t="s">
        <v>7</v>
      </c>
      <c r="B13" s="33">
        <v>12</v>
      </c>
      <c r="C13" s="33">
        <v>17</v>
      </c>
      <c r="D13" s="34"/>
      <c r="E13" s="74"/>
      <c r="F13" s="74"/>
      <c r="G13" s="74"/>
      <c r="H13" s="74"/>
      <c r="I13" s="97"/>
    </row>
    <row r="14" spans="1:17" s="8" customFormat="1" ht="23.5" customHeight="1" x14ac:dyDescent="0.35">
      <c r="A14" s="41" t="s">
        <v>10</v>
      </c>
      <c r="B14" s="33">
        <v>14.78</v>
      </c>
      <c r="C14" s="33">
        <v>15.3</v>
      </c>
      <c r="D14" s="34"/>
      <c r="E14" s="74"/>
      <c r="F14" s="74"/>
      <c r="G14" s="74"/>
      <c r="H14" s="74"/>
      <c r="I14" s="97"/>
      <c r="O14" s="8">
        <v>0</v>
      </c>
      <c r="Q14" s="8">
        <v>0</v>
      </c>
    </row>
    <row r="15" spans="1:17" s="8" customFormat="1" ht="23.5" customHeight="1" x14ac:dyDescent="0.35">
      <c r="A15" s="41" t="s">
        <v>11</v>
      </c>
      <c r="B15" s="33">
        <v>12.77</v>
      </c>
      <c r="C15" s="33">
        <v>13.4</v>
      </c>
      <c r="D15" s="34"/>
      <c r="E15" s="35">
        <v>12</v>
      </c>
      <c r="F15" s="36">
        <v>10</v>
      </c>
      <c r="G15" s="37">
        <f>(F15*0.001*2.54/B$22*100)</f>
        <v>0.26185567010309285</v>
      </c>
      <c r="H15" s="37">
        <f>B$21/(1-(G15/100))</f>
        <v>10.780329761647755</v>
      </c>
      <c r="I15" s="38">
        <f>(E15/10)/H15</f>
        <v>0.11131384906880455</v>
      </c>
      <c r="L15" s="9">
        <v>1</v>
      </c>
      <c r="M15" s="10">
        <v>0.45372050816696913</v>
      </c>
      <c r="N15" s="9">
        <v>10</v>
      </c>
      <c r="O15" s="11">
        <f>G15</f>
        <v>0.26185567010309285</v>
      </c>
      <c r="P15" s="11">
        <v>16.665074095873386</v>
      </c>
      <c r="Q15" s="11">
        <f>I15</f>
        <v>0.11131384906880455</v>
      </c>
    </row>
    <row r="16" spans="1:17" s="8" customFormat="1" ht="23.5" customHeight="1" x14ac:dyDescent="0.35">
      <c r="A16" s="41" t="s">
        <v>12</v>
      </c>
      <c r="B16" s="33">
        <v>5.15</v>
      </c>
      <c r="C16" s="33">
        <v>5.26</v>
      </c>
      <c r="D16" s="34"/>
      <c r="E16" s="35">
        <v>22</v>
      </c>
      <c r="F16" s="36">
        <v>20</v>
      </c>
      <c r="G16" s="37">
        <f t="shared" ref="G16:G24" si="0">(F16*0.001*2.54/B$22*100)</f>
        <v>0.5237113402061857</v>
      </c>
      <c r="H16" s="37">
        <f t="shared" ref="H16:H24" si="1">B$21/(1-(G16/100))</f>
        <v>10.808707282680157</v>
      </c>
      <c r="I16" s="38">
        <f t="shared" ref="I16:I24" si="2">(E16/10)/H16</f>
        <v>0.20353960399365004</v>
      </c>
      <c r="L16" s="9">
        <v>2</v>
      </c>
      <c r="M16" s="10">
        <v>0.90744101633393826</v>
      </c>
      <c r="N16" s="9">
        <v>20</v>
      </c>
      <c r="O16" s="11">
        <f t="shared" ref="O16:O30" si="3">G16</f>
        <v>0.5237113402061857</v>
      </c>
      <c r="P16" s="11">
        <v>16.71133965811218</v>
      </c>
      <c r="Q16" s="11">
        <f t="shared" ref="Q16:Q30" si="4">I16</f>
        <v>0.20353960399365004</v>
      </c>
    </row>
    <row r="17" spans="1:17" s="8" customFormat="1" ht="23.5" customHeight="1" x14ac:dyDescent="0.35">
      <c r="A17" s="41" t="s">
        <v>13</v>
      </c>
      <c r="B17" s="39">
        <f>(B14-B15)/(B15-B16)*100</f>
        <v>26.377952755905511</v>
      </c>
      <c r="C17" s="39">
        <f>(C14-C15)/(C15-C16)*100</f>
        <v>23.341523341523342</v>
      </c>
      <c r="D17" s="34"/>
      <c r="E17" s="35">
        <v>49</v>
      </c>
      <c r="F17" s="36">
        <v>30</v>
      </c>
      <c r="G17" s="37">
        <f t="shared" si="0"/>
        <v>0.78556701030927845</v>
      </c>
      <c r="H17" s="37">
        <f t="shared" si="1"/>
        <v>10.837234596732825</v>
      </c>
      <c r="I17" s="38">
        <f t="shared" si="2"/>
        <v>0.45214486742561028</v>
      </c>
      <c r="L17" s="9">
        <v>3</v>
      </c>
      <c r="M17" s="10">
        <v>1.3611615245009074</v>
      </c>
      <c r="N17" s="9">
        <v>30</v>
      </c>
      <c r="O17" s="11">
        <f t="shared" si="3"/>
        <v>0.78556701030927845</v>
      </c>
      <c r="P17" s="11">
        <v>16.757862820316095</v>
      </c>
      <c r="Q17" s="11">
        <f t="shared" si="4"/>
        <v>0.45214486742561028</v>
      </c>
    </row>
    <row r="18" spans="1:17" s="8" customFormat="1" ht="23.5" customHeight="1" x14ac:dyDescent="0.35">
      <c r="A18" s="41" t="s">
        <v>14</v>
      </c>
      <c r="B18" s="116">
        <f>(B17+C17)/2</f>
        <v>24.859738048714426</v>
      </c>
      <c r="C18" s="117"/>
      <c r="D18" s="34"/>
      <c r="E18" s="35">
        <v>60</v>
      </c>
      <c r="F18" s="36">
        <v>40</v>
      </c>
      <c r="G18" s="37">
        <f t="shared" si="0"/>
        <v>1.0474226804123714</v>
      </c>
      <c r="H18" s="37">
        <f t="shared" si="1"/>
        <v>10.865912892986056</v>
      </c>
      <c r="I18" s="38">
        <f t="shared" si="2"/>
        <v>0.55218554198727277</v>
      </c>
      <c r="L18" s="9">
        <v>4.5</v>
      </c>
      <c r="M18" s="10">
        <v>2.041742286751361</v>
      </c>
      <c r="N18" s="9">
        <v>40</v>
      </c>
      <c r="O18" s="11">
        <f t="shared" si="3"/>
        <v>1.0474226804123714</v>
      </c>
      <c r="P18" s="11">
        <v>16.804645739910313</v>
      </c>
      <c r="Q18" s="11">
        <f t="shared" si="4"/>
        <v>0.55218554198727277</v>
      </c>
    </row>
    <row r="19" spans="1:17" s="8" customFormat="1" ht="23.5" customHeight="1" x14ac:dyDescent="0.35">
      <c r="A19" s="105" t="s">
        <v>31</v>
      </c>
      <c r="B19" s="106"/>
      <c r="C19" s="106"/>
      <c r="D19" s="34"/>
      <c r="E19" s="35">
        <v>65</v>
      </c>
      <c r="F19" s="36">
        <v>50</v>
      </c>
      <c r="G19" s="37">
        <f t="shared" si="0"/>
        <v>1.3092783505154642</v>
      </c>
      <c r="H19" s="37">
        <f t="shared" si="1"/>
        <v>10.894743373241132</v>
      </c>
      <c r="I19" s="38">
        <f t="shared" si="2"/>
        <v>0.59661799982960795</v>
      </c>
      <c r="L19" s="9">
        <v>5.5</v>
      </c>
      <c r="M19" s="10">
        <v>2.4954627949183301</v>
      </c>
      <c r="N19" s="9">
        <v>60</v>
      </c>
      <c r="O19" s="11">
        <f t="shared" si="3"/>
        <v>1.3092783505154642</v>
      </c>
      <c r="P19" s="11">
        <v>16.898999602104425</v>
      </c>
      <c r="Q19" s="11">
        <f t="shared" si="4"/>
        <v>0.59661799982960795</v>
      </c>
    </row>
    <row r="20" spans="1:17" s="8" customFormat="1" ht="23.5" customHeight="1" x14ac:dyDescent="0.35">
      <c r="A20" s="41" t="s">
        <v>15</v>
      </c>
      <c r="B20" s="120">
        <v>3.7</v>
      </c>
      <c r="C20" s="121"/>
      <c r="D20" s="34"/>
      <c r="E20" s="35">
        <v>79</v>
      </c>
      <c r="F20" s="36">
        <v>60</v>
      </c>
      <c r="G20" s="37">
        <f t="shared" si="0"/>
        <v>1.5711340206185569</v>
      </c>
      <c r="H20" s="37">
        <f t="shared" si="1"/>
        <v>10.923727252088208</v>
      </c>
      <c r="I20" s="38">
        <f t="shared" si="2"/>
        <v>0.72319637955898397</v>
      </c>
      <c r="L20" s="9">
        <v>7</v>
      </c>
      <c r="M20" s="10">
        <v>3.1760435571687839</v>
      </c>
      <c r="N20" s="9">
        <v>80</v>
      </c>
      <c r="O20" s="11">
        <f t="shared" si="3"/>
        <v>1.5711340206185569</v>
      </c>
      <c r="P20" s="11">
        <v>16.994418993419881</v>
      </c>
      <c r="Q20" s="11">
        <f t="shared" si="4"/>
        <v>0.72319637955898397</v>
      </c>
    </row>
    <row r="21" spans="1:17" s="8" customFormat="1" ht="23.5" customHeight="1" x14ac:dyDescent="0.35">
      <c r="A21" s="41" t="s">
        <v>24</v>
      </c>
      <c r="B21" s="100">
        <f>PI()*B20^2/4</f>
        <v>10.752100856911069</v>
      </c>
      <c r="C21" s="101"/>
      <c r="D21" s="34"/>
      <c r="E21" s="35">
        <v>85</v>
      </c>
      <c r="F21" s="36">
        <v>70</v>
      </c>
      <c r="G21" s="37">
        <f t="shared" si="0"/>
        <v>1.8329896907216499</v>
      </c>
      <c r="H21" s="37">
        <f t="shared" si="1"/>
        <v>10.95286575707687</v>
      </c>
      <c r="I21" s="38">
        <f t="shared" si="2"/>
        <v>0.77605260472657367</v>
      </c>
      <c r="L21" s="9">
        <v>8.5</v>
      </c>
      <c r="M21" s="10">
        <v>3.8566243194192373</v>
      </c>
      <c r="N21" s="9">
        <v>100</v>
      </c>
      <c r="O21" s="11">
        <f t="shared" si="3"/>
        <v>1.8329896907216499</v>
      </c>
      <c r="P21" s="11">
        <v>17.0909220657277</v>
      </c>
      <c r="Q21" s="11">
        <f t="shared" si="4"/>
        <v>0.77605260472657367</v>
      </c>
    </row>
    <row r="22" spans="1:17" s="8" customFormat="1" ht="23.5" customHeight="1" x14ac:dyDescent="0.35">
      <c r="A22" s="41" t="s">
        <v>16</v>
      </c>
      <c r="B22" s="120">
        <v>9.6999999999999993</v>
      </c>
      <c r="C22" s="121"/>
      <c r="D22" s="34"/>
      <c r="E22" s="35">
        <v>85</v>
      </c>
      <c r="F22" s="36">
        <v>80</v>
      </c>
      <c r="G22" s="37">
        <f t="shared" si="0"/>
        <v>2.0948453608247428</v>
      </c>
      <c r="H22" s="37">
        <f t="shared" si="1"/>
        <v>10.982160128889454</v>
      </c>
      <c r="I22" s="38">
        <f t="shared" si="2"/>
        <v>0.77398252258588607</v>
      </c>
      <c r="L22" s="9">
        <v>10</v>
      </c>
      <c r="M22" s="10">
        <v>4.5372050816696907</v>
      </c>
      <c r="N22" s="9">
        <v>120</v>
      </c>
      <c r="O22" s="11">
        <f t="shared" si="3"/>
        <v>2.0948453608247428</v>
      </c>
      <c r="P22" s="11">
        <v>17.188527385556252</v>
      </c>
      <c r="Q22" s="11">
        <f t="shared" si="4"/>
        <v>0.77398252258588607</v>
      </c>
    </row>
    <row r="23" spans="1:17" s="8" customFormat="1" ht="23.5" customHeight="1" x14ac:dyDescent="0.35">
      <c r="A23" s="41" t="s">
        <v>25</v>
      </c>
      <c r="B23" s="100">
        <f>B21*B22</f>
        <v>104.29537831203736</v>
      </c>
      <c r="C23" s="101"/>
      <c r="D23" s="34"/>
      <c r="E23" s="35">
        <v>85</v>
      </c>
      <c r="F23" s="36">
        <v>90</v>
      </c>
      <c r="G23" s="37">
        <f t="shared" si="0"/>
        <v>2.3567010309278351</v>
      </c>
      <c r="H23" s="37">
        <f t="shared" si="1"/>
        <v>11.011611621517131</v>
      </c>
      <c r="I23" s="38">
        <f t="shared" si="2"/>
        <v>0.77191244044519869</v>
      </c>
      <c r="L23" s="9">
        <v>11.5</v>
      </c>
      <c r="M23" s="10">
        <v>5.2177858439201446</v>
      </c>
      <c r="N23" s="9">
        <v>140</v>
      </c>
      <c r="O23" s="11">
        <f t="shared" si="3"/>
        <v>2.3567010309278351</v>
      </c>
      <c r="P23" s="11">
        <v>17.287253945999726</v>
      </c>
      <c r="Q23" s="11">
        <f t="shared" si="4"/>
        <v>0.77191244044519869</v>
      </c>
    </row>
    <row r="24" spans="1:17" s="8" customFormat="1" ht="23.5" customHeight="1" x14ac:dyDescent="0.35">
      <c r="A24" s="41" t="s">
        <v>17</v>
      </c>
      <c r="B24" s="120">
        <v>199.07</v>
      </c>
      <c r="C24" s="121"/>
      <c r="D24" s="34"/>
      <c r="E24" s="35">
        <v>85</v>
      </c>
      <c r="F24" s="36">
        <v>100</v>
      </c>
      <c r="G24" s="37">
        <f t="shared" si="0"/>
        <v>2.6185567010309283</v>
      </c>
      <c r="H24" s="37">
        <f t="shared" si="1"/>
        <v>11.041221502438848</v>
      </c>
      <c r="I24" s="38">
        <f t="shared" si="2"/>
        <v>0.76984235830451109</v>
      </c>
      <c r="L24" s="9">
        <v>12.5</v>
      </c>
      <c r="M24" s="10">
        <v>5.6715063520871141</v>
      </c>
      <c r="N24" s="9">
        <v>160</v>
      </c>
      <c r="O24" s="11">
        <f t="shared" si="3"/>
        <v>2.6185567010309283</v>
      </c>
      <c r="P24" s="11">
        <v>17.387121179039301</v>
      </c>
      <c r="Q24" s="11">
        <f t="shared" si="4"/>
        <v>0.76984235830451109</v>
      </c>
    </row>
    <row r="25" spans="1:17" s="8" customFormat="1" ht="23.5" customHeight="1" x14ac:dyDescent="0.35">
      <c r="A25" s="41" t="s">
        <v>37</v>
      </c>
      <c r="B25" s="118">
        <f>B24/B23</f>
        <v>1.9087135328701725</v>
      </c>
      <c r="C25" s="119"/>
      <c r="D25" s="34"/>
      <c r="E25" s="35"/>
      <c r="F25" s="36"/>
      <c r="G25" s="37"/>
      <c r="H25" s="37"/>
      <c r="I25" s="38"/>
      <c r="L25" s="9">
        <v>14</v>
      </c>
      <c r="M25" s="10">
        <v>6.3520871143375679</v>
      </c>
      <c r="N25" s="9">
        <v>180</v>
      </c>
      <c r="O25" s="11">
        <f t="shared" si="3"/>
        <v>0</v>
      </c>
      <c r="P25" s="11">
        <v>17.48814896829391</v>
      </c>
      <c r="Q25" s="11">
        <f t="shared" si="4"/>
        <v>0</v>
      </c>
    </row>
    <row r="26" spans="1:17" s="8" customFormat="1" ht="23.5" customHeight="1" x14ac:dyDescent="0.35">
      <c r="A26" s="41" t="s">
        <v>38</v>
      </c>
      <c r="B26" s="118">
        <f>B25/(1+(B18/100))</f>
        <v>1.5286861583238962</v>
      </c>
      <c r="C26" s="119"/>
      <c r="D26" s="34"/>
      <c r="E26" s="35"/>
      <c r="F26" s="36"/>
      <c r="G26" s="37"/>
      <c r="H26" s="37"/>
      <c r="I26" s="38"/>
      <c r="L26" s="9">
        <v>14.5</v>
      </c>
      <c r="M26" s="10">
        <v>6.5789473684210522</v>
      </c>
      <c r="N26" s="9">
        <v>200</v>
      </c>
      <c r="O26" s="11">
        <f t="shared" si="3"/>
        <v>0</v>
      </c>
      <c r="P26" s="11">
        <v>17.590357662218132</v>
      </c>
      <c r="Q26" s="11">
        <f t="shared" si="4"/>
        <v>0</v>
      </c>
    </row>
    <row r="27" spans="1:17" s="8" customFormat="1" ht="23.5" customHeight="1" x14ac:dyDescent="0.35">
      <c r="A27" s="41" t="s">
        <v>18</v>
      </c>
      <c r="B27" s="98">
        <f>B22/B20</f>
        <v>2.6216216216216215</v>
      </c>
      <c r="C27" s="99"/>
      <c r="D27" s="34"/>
      <c r="E27" s="35"/>
      <c r="F27" s="36"/>
      <c r="G27" s="37"/>
      <c r="H27" s="37"/>
      <c r="I27" s="38"/>
      <c r="L27" s="9">
        <v>15.5</v>
      </c>
      <c r="M27" s="10">
        <v>7.0326678765880208</v>
      </c>
      <c r="N27" s="9">
        <v>220</v>
      </c>
      <c r="O27" s="11">
        <f t="shared" si="3"/>
        <v>0</v>
      </c>
      <c r="P27" s="11">
        <v>17.693768087765587</v>
      </c>
      <c r="Q27" s="11">
        <f t="shared" si="4"/>
        <v>0</v>
      </c>
    </row>
    <row r="28" spans="1:17" s="8" customFormat="1" ht="23.5" customHeight="1" x14ac:dyDescent="0.35">
      <c r="A28" s="41" t="s">
        <v>19</v>
      </c>
      <c r="B28" s="100">
        <v>1</v>
      </c>
      <c r="C28" s="101"/>
      <c r="D28" s="34"/>
      <c r="E28" s="35"/>
      <c r="F28" s="36"/>
      <c r="G28" s="37"/>
      <c r="H28" s="37"/>
      <c r="I28" s="38"/>
      <c r="L28" s="9">
        <v>16</v>
      </c>
      <c r="M28" s="10">
        <v>7.259528130671506</v>
      </c>
      <c r="N28" s="9">
        <v>240</v>
      </c>
      <c r="O28" s="11">
        <f t="shared" si="3"/>
        <v>0</v>
      </c>
      <c r="P28" s="11">
        <v>17.798401564537155</v>
      </c>
      <c r="Q28" s="11">
        <f t="shared" si="4"/>
        <v>0</v>
      </c>
    </row>
    <row r="29" spans="1:17" ht="23.25" customHeight="1" x14ac:dyDescent="0.3">
      <c r="A29" s="23"/>
      <c r="B29" s="24"/>
      <c r="C29" s="24"/>
      <c r="E29" s="10"/>
      <c r="F29" s="9"/>
      <c r="G29" s="11"/>
      <c r="H29" s="11"/>
      <c r="I29" s="12"/>
      <c r="L29" s="9">
        <v>16.5</v>
      </c>
      <c r="M29" s="10">
        <v>7.4863883847549904</v>
      </c>
      <c r="N29" s="9">
        <v>260</v>
      </c>
      <c r="O29" s="11">
        <f t="shared" si="3"/>
        <v>0</v>
      </c>
      <c r="P29" s="11">
        <v>17.904279919434163</v>
      </c>
      <c r="Q29" s="11">
        <f t="shared" si="4"/>
        <v>0</v>
      </c>
    </row>
    <row r="30" spans="1:17" ht="19.149999999999999" customHeight="1" x14ac:dyDescent="0.3">
      <c r="A30" s="102" t="s">
        <v>20</v>
      </c>
      <c r="B30" s="103"/>
      <c r="C30" s="104"/>
      <c r="E30" s="10"/>
      <c r="F30" s="9"/>
      <c r="G30" s="11"/>
      <c r="H30" s="11"/>
      <c r="I30" s="12"/>
      <c r="L30" s="9">
        <v>17</v>
      </c>
      <c r="M30" s="10">
        <v>7.7132486388384747</v>
      </c>
      <c r="N30" s="9">
        <v>280</v>
      </c>
      <c r="O30" s="11">
        <f t="shared" si="3"/>
        <v>0</v>
      </c>
      <c r="P30" s="11">
        <v>18.011425501837714</v>
      </c>
      <c r="Q30" s="11">
        <f t="shared" si="4"/>
        <v>0</v>
      </c>
    </row>
    <row r="31" spans="1:17" ht="23.5" customHeight="1" x14ac:dyDescent="0.3">
      <c r="A31" s="40" t="s">
        <v>21</v>
      </c>
      <c r="B31" s="115">
        <f>B18</f>
        <v>24.859738048714426</v>
      </c>
      <c r="C31" s="115"/>
      <c r="E31" s="10"/>
      <c r="F31" s="9"/>
      <c r="G31" s="11"/>
      <c r="H31" s="11"/>
      <c r="I31" s="12"/>
      <c r="L31" s="9"/>
      <c r="M31" s="10"/>
      <c r="N31" s="9"/>
      <c r="O31" s="11"/>
      <c r="P31" s="11"/>
      <c r="Q31" s="11"/>
    </row>
    <row r="32" spans="1:17" ht="23.5" customHeight="1" x14ac:dyDescent="0.3">
      <c r="A32" s="40" t="s">
        <v>39</v>
      </c>
      <c r="B32" s="112">
        <f>B25</f>
        <v>1.9087135328701725</v>
      </c>
      <c r="C32" s="112"/>
      <c r="E32" s="10"/>
      <c r="F32" s="9"/>
      <c r="G32" s="11"/>
      <c r="H32" s="11"/>
      <c r="I32" s="12"/>
      <c r="L32" s="9"/>
      <c r="M32" s="10"/>
      <c r="N32" s="9"/>
      <c r="O32" s="11"/>
      <c r="P32" s="11"/>
      <c r="Q32" s="11"/>
    </row>
    <row r="33" spans="1:61" ht="23.5" customHeight="1" x14ac:dyDescent="0.3">
      <c r="A33" s="40" t="s">
        <v>40</v>
      </c>
      <c r="B33" s="112">
        <f>B26</f>
        <v>1.5286861583238962</v>
      </c>
      <c r="C33" s="112"/>
      <c r="E33" s="10"/>
      <c r="F33" s="9"/>
      <c r="G33" s="11"/>
      <c r="H33" s="13"/>
      <c r="I33" s="12"/>
      <c r="L33" s="9"/>
      <c r="M33" s="10"/>
      <c r="N33" s="9"/>
      <c r="O33" s="11"/>
      <c r="P33" s="11"/>
      <c r="Q33" s="11"/>
    </row>
    <row r="34" spans="1:61" ht="23.5" customHeight="1" x14ac:dyDescent="0.3">
      <c r="A34" s="40" t="s">
        <v>26</v>
      </c>
      <c r="B34" s="113">
        <v>0.42824198662407309</v>
      </c>
      <c r="C34" s="113"/>
      <c r="E34" s="10"/>
      <c r="F34" s="9"/>
      <c r="G34" s="11"/>
      <c r="H34" s="22"/>
      <c r="I34" s="12"/>
      <c r="L34" s="9"/>
      <c r="M34" s="10"/>
      <c r="N34" s="9"/>
      <c r="O34" s="11"/>
      <c r="P34" s="11"/>
      <c r="Q34" s="11"/>
    </row>
    <row r="35" spans="1:61" ht="6" customHeight="1" x14ac:dyDescent="0.3">
      <c r="A35" s="48"/>
      <c r="B35" s="42"/>
      <c r="C35" s="42"/>
      <c r="D35" s="44"/>
      <c r="E35" s="46"/>
      <c r="F35" s="46"/>
      <c r="G35" s="46"/>
      <c r="H35" s="46"/>
      <c r="I35" s="47"/>
      <c r="L35" s="9"/>
      <c r="M35" s="10"/>
      <c r="N35" s="9"/>
      <c r="O35" s="11"/>
      <c r="P35" s="11"/>
      <c r="Q35" s="11"/>
    </row>
    <row r="36" spans="1:61" ht="14.25" customHeight="1" x14ac:dyDescent="0.3">
      <c r="A36" s="45"/>
      <c r="B36" s="45"/>
      <c r="C36" s="45"/>
      <c r="D36" s="45"/>
      <c r="E36" s="45"/>
      <c r="F36" s="45"/>
      <c r="G36" s="45"/>
      <c r="H36" s="45"/>
      <c r="I36" s="45"/>
    </row>
    <row r="37" spans="1:61" ht="16.5" customHeight="1" x14ac:dyDescent="0.3">
      <c r="A37" s="14"/>
      <c r="B37" s="43"/>
      <c r="C37" s="43"/>
      <c r="D37" s="43"/>
      <c r="E37" s="43"/>
      <c r="F37" s="43"/>
      <c r="G37" s="43"/>
      <c r="H37" s="43"/>
      <c r="I37" s="43"/>
    </row>
    <row r="38" spans="1:61" ht="16.5" customHeight="1" x14ac:dyDescent="0.3">
      <c r="A38" s="43"/>
      <c r="B38" s="43"/>
      <c r="C38" s="43"/>
      <c r="D38" s="43"/>
      <c r="E38" s="43"/>
      <c r="F38" s="43"/>
      <c r="G38" s="43"/>
      <c r="H38" s="43"/>
      <c r="I38" s="43"/>
    </row>
    <row r="39" spans="1:61" ht="16.5" customHeight="1" x14ac:dyDescent="0.3">
      <c r="A39" s="43"/>
      <c r="B39" s="43"/>
      <c r="C39" s="43"/>
      <c r="D39" s="43"/>
      <c r="E39" s="43"/>
      <c r="F39" s="43"/>
      <c r="G39" s="43"/>
      <c r="H39" s="43"/>
      <c r="I39" s="43"/>
    </row>
    <row r="40" spans="1:61" ht="16.5" customHeight="1" x14ac:dyDescent="0.3">
      <c r="A40" s="14"/>
      <c r="B40" s="15"/>
      <c r="C40" s="15"/>
      <c r="D40" s="15"/>
      <c r="E40" s="15"/>
      <c r="F40" s="15"/>
      <c r="G40" s="15"/>
      <c r="H40" s="15"/>
      <c r="I40" s="16"/>
    </row>
    <row r="41" spans="1:61" ht="16.5" customHeight="1" x14ac:dyDescent="0.3">
      <c r="A41" s="14"/>
      <c r="B41" s="15"/>
      <c r="C41" s="15"/>
      <c r="D41" s="15"/>
      <c r="E41" s="15"/>
      <c r="F41" s="15"/>
      <c r="G41" s="15"/>
      <c r="H41" s="15"/>
      <c r="I41" s="16"/>
    </row>
    <row r="42" spans="1:61" ht="16.5" customHeight="1" x14ac:dyDescent="0.3">
      <c r="A42" s="14"/>
      <c r="B42" s="15"/>
      <c r="C42" s="15"/>
      <c r="D42" s="15"/>
      <c r="E42" s="15"/>
      <c r="F42" s="15"/>
      <c r="G42" s="43"/>
      <c r="H42" s="15"/>
      <c r="I42" s="16"/>
    </row>
    <row r="43" spans="1:61" s="17" customFormat="1" ht="12.65" customHeight="1" x14ac:dyDescent="0.3">
      <c r="A43" s="2"/>
      <c r="B43" s="1"/>
      <c r="C43" s="1"/>
      <c r="D43" s="1"/>
      <c r="E43" s="1"/>
      <c r="F43" s="1"/>
      <c r="G43" s="1"/>
      <c r="H43" s="1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spans="1:61" s="17" customFormat="1" ht="12.65" customHeight="1" x14ac:dyDescent="0.3">
      <c r="A44" s="2"/>
      <c r="B44" s="1"/>
      <c r="C44" s="1"/>
      <c r="D44" s="1"/>
      <c r="E44" s="1"/>
      <c r="F44" s="1"/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spans="1:61" s="17" customFormat="1" ht="17.25" customHeight="1" x14ac:dyDescent="0.3">
      <c r="A45" s="18"/>
      <c r="B45" s="114"/>
      <c r="C45" s="114"/>
      <c r="D45" s="114"/>
      <c r="E45" s="95"/>
      <c r="F45" s="95"/>
      <c r="G45" s="110"/>
      <c r="H45" s="110"/>
      <c r="I45" s="1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 spans="1:61" s="17" customFormat="1" ht="17.25" customHeight="1" x14ac:dyDescent="0.3">
      <c r="A46" s="2"/>
      <c r="B46" s="1"/>
      <c r="C46" s="1"/>
      <c r="D46" s="95"/>
      <c r="E46" s="95"/>
      <c r="F46" s="1"/>
      <c r="G46" s="95"/>
      <c r="H46" s="95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 spans="1:61" s="17" customFormat="1" ht="17.25" customHeight="1" thickBot="1" x14ac:dyDescent="0.35">
      <c r="A47" s="19"/>
      <c r="B47" s="20"/>
      <c r="C47" s="20"/>
      <c r="D47" s="20"/>
      <c r="E47" s="20"/>
      <c r="F47" s="20"/>
      <c r="G47" s="20"/>
      <c r="H47" s="20"/>
      <c r="I47" s="2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spans="1:61" ht="13.5" thickTop="1" x14ac:dyDescent="0.3"/>
  </sheetData>
  <mergeCells count="40">
    <mergeCell ref="A1:A5"/>
    <mergeCell ref="B1:I5"/>
    <mergeCell ref="B7:D7"/>
    <mergeCell ref="F7:H7"/>
    <mergeCell ref="B8:D8"/>
    <mergeCell ref="G8:H8"/>
    <mergeCell ref="B9:D9"/>
    <mergeCell ref="E9:F9"/>
    <mergeCell ref="G9:H9"/>
    <mergeCell ref="B10:D10"/>
    <mergeCell ref="E10:G10"/>
    <mergeCell ref="H10:I10"/>
    <mergeCell ref="E11:I11"/>
    <mergeCell ref="A12:C12"/>
    <mergeCell ref="E12:E14"/>
    <mergeCell ref="F12:F14"/>
    <mergeCell ref="G12:G14"/>
    <mergeCell ref="H12:H14"/>
    <mergeCell ref="I12:I14"/>
    <mergeCell ref="A30:C30"/>
    <mergeCell ref="B18:C18"/>
    <mergeCell ref="A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G45:I45"/>
    <mergeCell ref="D46:E46"/>
    <mergeCell ref="G46:H46"/>
    <mergeCell ref="B31:C31"/>
    <mergeCell ref="B32:C32"/>
    <mergeCell ref="B33:C33"/>
    <mergeCell ref="B34:C34"/>
    <mergeCell ref="B45:D45"/>
    <mergeCell ref="E45:F45"/>
  </mergeCells>
  <pageMargins left="0.56000000000000005" right="0.23622047244094491" top="0.70866141732283472" bottom="0.78740157480314965" header="0" footer="0"/>
  <pageSetup scale="67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3.</vt:lpstr>
      <vt:lpstr>copia</vt:lpstr>
      <vt:lpstr>'3.'!Área_de_impresión</vt:lpstr>
      <vt:lpstr>copia!Área_de_impresión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2026-01-22T20:11:52Z</dcterms:modified>
</cp:coreProperties>
</file>