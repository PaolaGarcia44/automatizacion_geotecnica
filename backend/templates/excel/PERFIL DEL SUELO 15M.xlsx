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IENTES POR HACER\AA MUNICIPIO DE BELLO\BELLO CESAR\"/>
    </mc:Choice>
  </mc:AlternateContent>
  <xr:revisionPtr revIDLastSave="0" documentId="13_ncr:1_{348E738E-1B43-4E4B-8BEB-74C8E29052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2" sheetId="2" r:id="rId2"/>
  </sheets>
  <definedNames>
    <definedName name="_xlnm.Print_Area" localSheetId="0">Hoja1!$B$2:$N$30</definedName>
    <definedName name="BOVEDA">#REF!</definedName>
    <definedName name="Hoja">#REF!</definedName>
    <definedName name="Libro">#REF!</definedName>
    <definedName name="ruta">#REF!</definedName>
    <definedName name="serie1">"Gráfico 1"</definedName>
    <definedName name="ub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1" l="1"/>
  <c r="K6" i="1"/>
  <c r="I11" i="1" l="1"/>
  <c r="I12" i="1"/>
  <c r="I13" i="1"/>
  <c r="I14" i="1"/>
  <c r="I15" i="1"/>
  <c r="I16" i="1"/>
  <c r="I17" i="1"/>
  <c r="I18" i="1"/>
  <c r="I19" i="1"/>
  <c r="I6" i="1"/>
  <c r="I7" i="1"/>
  <c r="I8" i="1"/>
  <c r="I9" i="1"/>
  <c r="I10" i="1"/>
  <c r="I5" i="1"/>
  <c r="K5" i="1"/>
  <c r="N6" i="1" l="1"/>
  <c r="N5" i="1"/>
  <c r="N20" i="1" l="1"/>
  <c r="N22" i="1" l="1"/>
</calcChain>
</file>

<file path=xl/sharedStrings.xml><?xml version="1.0" encoding="utf-8"?>
<sst xmlns="http://schemas.openxmlformats.org/spreadsheetml/2006/main" count="34" uniqueCount="29">
  <si>
    <t>PERFIL 30m</t>
  </si>
  <si>
    <t>N MEDIO-30m</t>
  </si>
  <si>
    <t>Σ di/ni</t>
  </si>
  <si>
    <t>di/Ni</t>
  </si>
  <si>
    <t>Profundidad (m)</t>
  </si>
  <si>
    <t>PERFIL DEL SUELO - según tabla A.2.4.4-1 NSR-10</t>
  </si>
  <si>
    <t>N60</t>
  </si>
  <si>
    <t>Espesor de capa (m)</t>
  </si>
  <si>
    <t>Espesor de Capa  (m)</t>
  </si>
  <si>
    <t>ACORDE A: N60 ASTM D-1586-11</t>
  </si>
  <si>
    <t>EM ESTUDIOS GEOTÉCNICOS</t>
  </si>
  <si>
    <t>Cordialmente</t>
  </si>
  <si>
    <t>EDWIN MARIN MONTOYA</t>
  </si>
  <si>
    <t>Ingeniero Civil</t>
  </si>
  <si>
    <t>MP 05202-254406</t>
  </si>
  <si>
    <t>Cohesión Kpa</t>
  </si>
  <si>
    <t>PROYECTO:</t>
  </si>
  <si>
    <t>FECHA:</t>
  </si>
  <si>
    <t>N1 campo</t>
  </si>
  <si>
    <t>N2 campo</t>
  </si>
  <si>
    <t>N3 campo</t>
  </si>
  <si>
    <t>N Pomedio</t>
  </si>
  <si>
    <r>
      <t>N Promedio Corregido N</t>
    </r>
    <r>
      <rPr>
        <b/>
        <vertAlign val="subscript"/>
        <sz val="10"/>
        <color theme="1"/>
        <rFont val="Century Gothic"/>
        <family val="2"/>
      </rPr>
      <t>45</t>
    </r>
  </si>
  <si>
    <t>N promedio estrato</t>
  </si>
  <si>
    <t>Peso volumétrico estrato KN</t>
  </si>
  <si>
    <t>Lleno antrópico</t>
  </si>
  <si>
    <t>N4 campo</t>
  </si>
  <si>
    <t>EDIFICIO HELMER ADRIAN LÓPEZ ZONA URBNA DE BELLO - ANT</t>
  </si>
  <si>
    <t>Arena limosa de consistencia media a dura en profundidad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</si>
</sst>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vertAlign val="subscript"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3" tint="0.59999389629810485"/>
      <name val="Century Gothic"/>
      <family val="2"/>
    </font>
    <font>
      <sz val="7"/>
      <color theme="1"/>
      <name val="Century Gothic"/>
      <family val="2"/>
    </font>
    <font>
      <sz val="8"/>
      <color theme="1"/>
      <name val="Arial"/>
      <family val="2"/>
    </font>
    <font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/>
    <xf numFmtId="2" fontId="1" fillId="0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7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forward val="15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Hoja2!$B$2:$B$15</c:f>
              <c:numCache>
                <c:formatCode>0</c:formatCode>
                <c:ptCount val="14"/>
                <c:pt idx="0">
                  <c:v>10.5</c:v>
                </c:pt>
                <c:pt idx="1">
                  <c:v>9</c:v>
                </c:pt>
                <c:pt idx="2">
                  <c:v>7.5</c:v>
                </c:pt>
                <c:pt idx="3">
                  <c:v>7.5</c:v>
                </c:pt>
                <c:pt idx="4">
                  <c:v>8.25</c:v>
                </c:pt>
                <c:pt idx="5">
                  <c:v>6</c:v>
                </c:pt>
                <c:pt idx="6">
                  <c:v>7.5</c:v>
                </c:pt>
                <c:pt idx="7">
                  <c:v>12</c:v>
                </c:pt>
                <c:pt idx="8">
                  <c:v>18.75</c:v>
                </c:pt>
                <c:pt idx="9">
                  <c:v>21.75</c:v>
                </c:pt>
                <c:pt idx="10">
                  <c:v>33</c:v>
                </c:pt>
                <c:pt idx="11">
                  <c:v>30.75</c:v>
                </c:pt>
                <c:pt idx="12">
                  <c:v>58.5</c:v>
                </c:pt>
                <c:pt idx="1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E-40B0-9989-DEC6EA21A6E3}"/>
            </c:ext>
          </c:extLst>
        </c:ser>
        <c:ser>
          <c:idx val="1"/>
          <c:order val="1"/>
          <c:spPr>
            <a:ln w="28575">
              <a:noFill/>
            </a:ln>
          </c:spPr>
          <c:trendline>
            <c:trendlineType val="log"/>
            <c:forward val="15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Hoja2!$C$2:$C$15</c:f>
              <c:numCache>
                <c:formatCode>0</c:formatCode>
                <c:ptCount val="14"/>
                <c:pt idx="0">
                  <c:v>3.9749999999999996</c:v>
                </c:pt>
                <c:pt idx="1">
                  <c:v>6.2250000000000005</c:v>
                </c:pt>
                <c:pt idx="2">
                  <c:v>9.375</c:v>
                </c:pt>
                <c:pt idx="3">
                  <c:v>13.685</c:v>
                </c:pt>
                <c:pt idx="4">
                  <c:v>23.8</c:v>
                </c:pt>
                <c:pt idx="5">
                  <c:v>33.15</c:v>
                </c:pt>
                <c:pt idx="6">
                  <c:v>47.974999999999994</c:v>
                </c:pt>
                <c:pt idx="7">
                  <c:v>53.93888888888889</c:v>
                </c:pt>
                <c:pt idx="8">
                  <c:v>48.133333333333326</c:v>
                </c:pt>
                <c:pt idx="9">
                  <c:v>55.099999999999994</c:v>
                </c:pt>
                <c:pt idx="10">
                  <c:v>63.666666666666664</c:v>
                </c:pt>
                <c:pt idx="11">
                  <c:v>69</c:v>
                </c:pt>
                <c:pt idx="12">
                  <c:v>69</c:v>
                </c:pt>
                <c:pt idx="13">
                  <c:v>77.5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3E-40B0-9989-DEC6EA21A6E3}"/>
            </c:ext>
          </c:extLst>
        </c:ser>
        <c:ser>
          <c:idx val="2"/>
          <c:order val="2"/>
          <c:spPr>
            <a:ln w="28575">
              <a:noFill/>
            </a:ln>
          </c:spPr>
          <c:trendline>
            <c:trendlineType val="log"/>
            <c:forward val="24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Hoja2!$D$2:$D$7</c:f>
              <c:numCache>
                <c:formatCode>0</c:formatCode>
                <c:ptCount val="6"/>
                <c:pt idx="0">
                  <c:v>4.5</c:v>
                </c:pt>
                <c:pt idx="1">
                  <c:v>6</c:v>
                </c:pt>
                <c:pt idx="2">
                  <c:v>12.75</c:v>
                </c:pt>
                <c:pt idx="3">
                  <c:v>25.5</c:v>
                </c:pt>
                <c:pt idx="4">
                  <c:v>35.699999999999996</c:v>
                </c:pt>
                <c:pt idx="5">
                  <c:v>51.85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3E-40B0-9989-DEC6EA21A6E3}"/>
            </c:ext>
          </c:extLst>
        </c:ser>
        <c:ser>
          <c:idx val="3"/>
          <c:order val="3"/>
          <c:spPr>
            <a:ln w="28575">
              <a:noFill/>
            </a:ln>
          </c:spPr>
          <c:trendline>
            <c:trendlineType val="log"/>
            <c:forward val="24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Hoja2!$E$2:$E$7</c:f>
              <c:numCache>
                <c:formatCode>0</c:formatCode>
                <c:ptCount val="6"/>
                <c:pt idx="0">
                  <c:v>4.5</c:v>
                </c:pt>
                <c:pt idx="1">
                  <c:v>9</c:v>
                </c:pt>
                <c:pt idx="2">
                  <c:v>23.25</c:v>
                </c:pt>
                <c:pt idx="3">
                  <c:v>47.6</c:v>
                </c:pt>
                <c:pt idx="4">
                  <c:v>65.45</c:v>
                </c:pt>
                <c:pt idx="5">
                  <c:v>71.399999999999991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3E-40B0-9989-DEC6EA21A6E3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Hoja2!$A$2:$A$13</c:f>
              <c:numCache>
                <c:formatCode>0.00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Hoja2!$F$2:$F$7</c:f>
              <c:numCache>
                <c:formatCode>0</c:formatCode>
                <c:ptCount val="6"/>
                <c:pt idx="0">
                  <c:v>8.25</c:v>
                </c:pt>
                <c:pt idx="1">
                  <c:v>20.25</c:v>
                </c:pt>
                <c:pt idx="2">
                  <c:v>36.75</c:v>
                </c:pt>
                <c:pt idx="3">
                  <c:v>56.1</c:v>
                </c:pt>
                <c:pt idx="4">
                  <c:v>62.9</c:v>
                </c:pt>
                <c:pt idx="5">
                  <c:v>68.849999999999994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43E-40B0-9989-DEC6EA21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76358304"/>
        <c:axId val="-276365376"/>
      </c:scatterChart>
      <c:valAx>
        <c:axId val="-276358304"/>
        <c:scaling>
          <c:orientation val="minMax"/>
          <c:max val="30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s-CO"/>
          </a:p>
        </c:txPr>
        <c:crossAx val="-276365376"/>
        <c:crosses val="autoZero"/>
        <c:crossBetween val="midCat"/>
      </c:valAx>
      <c:valAx>
        <c:axId val="-276365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76358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104775</xdr:rowOff>
    </xdr:from>
    <xdr:to>
      <xdr:col>13</xdr:col>
      <xdr:colOff>38100</xdr:colOff>
      <xdr:row>15</xdr:row>
      <xdr:rowOff>180975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0"/>
  <sheetViews>
    <sheetView tabSelected="1" topLeftCell="I19" zoomScaleNormal="100" zoomScaleSheetLayoutView="100" workbookViewId="0">
      <selection activeCell="N30" sqref="B1:N30"/>
    </sheetView>
  </sheetViews>
  <sheetFormatPr baseColWidth="10" defaultColWidth="11.453125" defaultRowHeight="12.5" x14ac:dyDescent="0.25"/>
  <cols>
    <col min="1" max="1" width="4.08984375" style="1" customWidth="1"/>
    <col min="2" max="2" width="11.453125" style="1"/>
    <col min="3" max="3" width="9.6328125" style="1" customWidth="1"/>
    <col min="4" max="4" width="11.26953125" style="1" customWidth="1"/>
    <col min="5" max="9" width="11.453125" style="1"/>
    <col min="10" max="10" width="13.6328125" style="1" customWidth="1"/>
    <col min="11" max="11" width="15.1796875" style="1" customWidth="1"/>
    <col min="12" max="12" width="19.36328125" style="1" customWidth="1"/>
    <col min="13" max="13" width="14.26953125" style="1" customWidth="1"/>
    <col min="14" max="14" width="13.1796875" style="1" customWidth="1"/>
    <col min="15" max="16384" width="11.453125" style="1"/>
  </cols>
  <sheetData>
    <row r="1" spans="2:15" ht="20" customHeight="1" x14ac:dyDescent="0.25">
      <c r="B1" s="37" t="s">
        <v>16</v>
      </c>
      <c r="C1" s="37"/>
      <c r="D1" s="38" t="s">
        <v>27</v>
      </c>
      <c r="E1" s="38"/>
      <c r="F1" s="38"/>
      <c r="G1" s="38"/>
      <c r="H1" s="38"/>
      <c r="I1" s="38"/>
      <c r="J1" s="38"/>
      <c r="K1" s="38"/>
      <c r="L1" s="38"/>
      <c r="M1" s="16" t="s">
        <v>17</v>
      </c>
      <c r="N1" s="17">
        <v>46042</v>
      </c>
    </row>
    <row r="2" spans="2:15" ht="27.75" customHeight="1" x14ac:dyDescent="0.25">
      <c r="B2" s="34" t="s">
        <v>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 t="s">
        <v>10</v>
      </c>
      <c r="N2" s="35"/>
      <c r="O2" s="10"/>
    </row>
    <row r="3" spans="2:15" ht="15.75" customHeight="1" x14ac:dyDescent="0.25">
      <c r="B3" s="36" t="s">
        <v>9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5"/>
      <c r="N3" s="35"/>
    </row>
    <row r="4" spans="2:15" ht="30" customHeight="1" x14ac:dyDescent="0.25">
      <c r="B4" s="11" t="s">
        <v>8</v>
      </c>
      <c r="C4" s="4" t="s">
        <v>4</v>
      </c>
      <c r="D4" s="4" t="s">
        <v>7</v>
      </c>
      <c r="E4" s="4" t="s">
        <v>18</v>
      </c>
      <c r="F4" s="4" t="s">
        <v>19</v>
      </c>
      <c r="G4" s="4" t="s">
        <v>20</v>
      </c>
      <c r="H4" s="4" t="s">
        <v>26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15</v>
      </c>
      <c r="N4" s="8" t="s">
        <v>3</v>
      </c>
    </row>
    <row r="5" spans="2:15" ht="12.5" customHeight="1" x14ac:dyDescent="0.25">
      <c r="B5" s="24" t="s">
        <v>25</v>
      </c>
      <c r="C5" s="9">
        <v>1</v>
      </c>
      <c r="D5" s="19">
        <v>1</v>
      </c>
      <c r="E5" s="21">
        <v>25</v>
      </c>
      <c r="F5" s="21">
        <v>27</v>
      </c>
      <c r="G5" s="21">
        <v>24</v>
      </c>
      <c r="H5" s="21">
        <v>21</v>
      </c>
      <c r="I5" s="18">
        <f>AVERAGE(E5:H5)</f>
        <v>24.25</v>
      </c>
      <c r="J5" s="18">
        <v>35.585972000285693</v>
      </c>
      <c r="K5" s="20">
        <f>J5</f>
        <v>35.585972000285693</v>
      </c>
      <c r="L5" s="39">
        <v>15</v>
      </c>
      <c r="M5" s="22">
        <v>0</v>
      </c>
      <c r="N5" s="40">
        <f>D5/K5</f>
        <v>2.810096068169704E-2</v>
      </c>
    </row>
    <row r="6" spans="2:15" ht="14.5" customHeight="1" x14ac:dyDescent="0.25">
      <c r="B6" s="46" t="s">
        <v>28</v>
      </c>
      <c r="C6" s="9">
        <v>2</v>
      </c>
      <c r="D6" s="41">
        <v>14</v>
      </c>
      <c r="E6" s="21">
        <v>34</v>
      </c>
      <c r="F6" s="21">
        <v>33</v>
      </c>
      <c r="G6" s="21">
        <v>27</v>
      </c>
      <c r="H6" s="21">
        <v>25</v>
      </c>
      <c r="I6" s="18">
        <f t="shared" ref="I6:I19" si="0">AVERAGE(E6:H6)</f>
        <v>29.75</v>
      </c>
      <c r="J6" s="18">
        <v>38.448072770702069</v>
      </c>
      <c r="K6" s="42">
        <f>(J6+J7+J8+J9+J10+J11+J12+J13+J14+J15+J16+J17+J18+J19)/14</f>
        <v>43.952824134143654</v>
      </c>
      <c r="L6" s="43">
        <v>17.8</v>
      </c>
      <c r="M6" s="44">
        <v>0</v>
      </c>
      <c r="N6" s="45">
        <f>D6/K6</f>
        <v>0.31852333213611295</v>
      </c>
    </row>
    <row r="7" spans="2:15" x14ac:dyDescent="0.25">
      <c r="B7" s="47"/>
      <c r="C7" s="9">
        <v>3</v>
      </c>
      <c r="D7" s="41"/>
      <c r="E7" s="21">
        <v>36</v>
      </c>
      <c r="F7" s="21">
        <v>38</v>
      </c>
      <c r="G7" s="21">
        <v>31</v>
      </c>
      <c r="H7" s="21">
        <v>29</v>
      </c>
      <c r="I7" s="18">
        <f t="shared" si="0"/>
        <v>33.5</v>
      </c>
      <c r="J7" s="18">
        <v>39.46682741731199</v>
      </c>
      <c r="K7" s="42"/>
      <c r="L7" s="43"/>
      <c r="M7" s="44"/>
      <c r="N7" s="45"/>
    </row>
    <row r="8" spans="2:15" x14ac:dyDescent="0.25">
      <c r="B8" s="47"/>
      <c r="C8" s="9">
        <v>4</v>
      </c>
      <c r="D8" s="41"/>
      <c r="E8" s="21">
        <v>39</v>
      </c>
      <c r="F8" s="21">
        <v>40</v>
      </c>
      <c r="G8" s="21">
        <v>34</v>
      </c>
      <c r="H8" s="21">
        <v>31</v>
      </c>
      <c r="I8" s="18">
        <f t="shared" si="0"/>
        <v>36</v>
      </c>
      <c r="J8" s="18">
        <v>39.353403418529176</v>
      </c>
      <c r="K8" s="42"/>
      <c r="L8" s="43"/>
      <c r="M8" s="44"/>
      <c r="N8" s="45"/>
    </row>
    <row r="9" spans="2:15" x14ac:dyDescent="0.25">
      <c r="B9" s="47"/>
      <c r="C9" s="9">
        <v>5</v>
      </c>
      <c r="D9" s="41"/>
      <c r="E9" s="21">
        <v>43</v>
      </c>
      <c r="F9" s="21">
        <v>42</v>
      </c>
      <c r="G9" s="21">
        <v>37</v>
      </c>
      <c r="H9" s="21">
        <v>34</v>
      </c>
      <c r="I9" s="18">
        <f t="shared" si="0"/>
        <v>39</v>
      </c>
      <c r="J9" s="18">
        <v>39.993849858779285</v>
      </c>
      <c r="K9" s="42"/>
      <c r="L9" s="43"/>
      <c r="M9" s="44"/>
      <c r="N9" s="45"/>
    </row>
    <row r="10" spans="2:15" x14ac:dyDescent="0.25">
      <c r="B10" s="47"/>
      <c r="C10" s="9">
        <v>6</v>
      </c>
      <c r="D10" s="41"/>
      <c r="E10" s="21">
        <v>46</v>
      </c>
      <c r="F10" s="21">
        <v>46</v>
      </c>
      <c r="G10" s="21">
        <v>41</v>
      </c>
      <c r="H10" s="21">
        <v>37</v>
      </c>
      <c r="I10" s="18">
        <f t="shared" si="0"/>
        <v>42.5</v>
      </c>
      <c r="J10" s="18">
        <v>41.193060854674812</v>
      </c>
      <c r="K10" s="42"/>
      <c r="L10" s="43"/>
      <c r="M10" s="44"/>
      <c r="N10" s="45"/>
    </row>
    <row r="11" spans="2:15" x14ac:dyDescent="0.25">
      <c r="B11" s="47"/>
      <c r="C11" s="9">
        <v>7</v>
      </c>
      <c r="D11" s="41"/>
      <c r="E11" s="21">
        <v>49</v>
      </c>
      <c r="F11" s="21">
        <v>51</v>
      </c>
      <c r="G11" s="21">
        <v>45</v>
      </c>
      <c r="H11" s="21">
        <v>40</v>
      </c>
      <c r="I11" s="18">
        <f t="shared" si="0"/>
        <v>46.25</v>
      </c>
      <c r="J11" s="18">
        <v>42.602512821249867</v>
      </c>
      <c r="K11" s="42"/>
      <c r="L11" s="43"/>
      <c r="M11" s="44"/>
      <c r="N11" s="45"/>
    </row>
    <row r="12" spans="2:15" x14ac:dyDescent="0.25">
      <c r="B12" s="47"/>
      <c r="C12" s="9">
        <v>8</v>
      </c>
      <c r="D12" s="41"/>
      <c r="E12" s="21">
        <v>53</v>
      </c>
      <c r="F12" s="21">
        <v>55</v>
      </c>
      <c r="G12" s="21">
        <v>49</v>
      </c>
      <c r="H12" s="21">
        <v>43</v>
      </c>
      <c r="I12" s="18">
        <f t="shared" si="0"/>
        <v>50</v>
      </c>
      <c r="J12" s="18">
        <v>43.838787786665009</v>
      </c>
      <c r="K12" s="42"/>
      <c r="L12" s="43"/>
      <c r="M12" s="44"/>
      <c r="N12" s="45"/>
    </row>
    <row r="13" spans="2:15" x14ac:dyDescent="0.25">
      <c r="B13" s="47"/>
      <c r="C13" s="9">
        <v>9</v>
      </c>
      <c r="D13" s="41"/>
      <c r="E13" s="21">
        <v>57</v>
      </c>
      <c r="F13" s="21">
        <v>58</v>
      </c>
      <c r="G13" s="21">
        <v>51</v>
      </c>
      <c r="H13" s="21">
        <v>47</v>
      </c>
      <c r="I13" s="18">
        <f t="shared" si="0"/>
        <v>53.25</v>
      </c>
      <c r="J13" s="18">
        <v>44.603558996992504</v>
      </c>
      <c r="K13" s="42"/>
      <c r="L13" s="43"/>
      <c r="M13" s="44"/>
      <c r="N13" s="45"/>
    </row>
    <row r="14" spans="2:15" x14ac:dyDescent="0.25">
      <c r="B14" s="47"/>
      <c r="C14" s="9">
        <v>10</v>
      </c>
      <c r="D14" s="41"/>
      <c r="E14" s="21">
        <v>62</v>
      </c>
      <c r="F14" s="21">
        <v>63</v>
      </c>
      <c r="G14" s="21">
        <v>55</v>
      </c>
      <c r="H14" s="21">
        <v>50</v>
      </c>
      <c r="I14" s="18">
        <f t="shared" si="0"/>
        <v>57.5</v>
      </c>
      <c r="J14" s="18">
        <v>46.148852763809323</v>
      </c>
      <c r="K14" s="42"/>
      <c r="L14" s="43"/>
      <c r="M14" s="44"/>
      <c r="N14" s="45"/>
    </row>
    <row r="15" spans="2:15" x14ac:dyDescent="0.25">
      <c r="B15" s="47"/>
      <c r="C15" s="9">
        <v>11</v>
      </c>
      <c r="D15" s="41"/>
      <c r="E15" s="21">
        <v>65</v>
      </c>
      <c r="F15" s="21">
        <v>67</v>
      </c>
      <c r="G15" s="21">
        <v>58</v>
      </c>
      <c r="H15" s="21">
        <v>53</v>
      </c>
      <c r="I15" s="18">
        <f t="shared" si="0"/>
        <v>60.75</v>
      </c>
      <c r="J15" s="18">
        <v>46.831119842833012</v>
      </c>
      <c r="K15" s="42"/>
      <c r="L15" s="43"/>
      <c r="M15" s="44"/>
      <c r="N15" s="45"/>
    </row>
    <row r="16" spans="2:15" x14ac:dyDescent="0.25">
      <c r="B16" s="47"/>
      <c r="C16" s="9">
        <v>12</v>
      </c>
      <c r="D16" s="41"/>
      <c r="E16" s="21">
        <v>68</v>
      </c>
      <c r="F16" s="21">
        <v>70</v>
      </c>
      <c r="G16" s="21">
        <v>62</v>
      </c>
      <c r="H16" s="21">
        <v>58</v>
      </c>
      <c r="I16" s="18">
        <f t="shared" si="0"/>
        <v>64.5</v>
      </c>
      <c r="J16" s="18">
        <v>47.854391678465483</v>
      </c>
      <c r="K16" s="42"/>
      <c r="L16" s="43"/>
      <c r="M16" s="44"/>
      <c r="N16" s="45"/>
    </row>
    <row r="17" spans="2:14" x14ac:dyDescent="0.25">
      <c r="B17" s="47"/>
      <c r="C17" s="9">
        <v>13</v>
      </c>
      <c r="D17" s="41"/>
      <c r="E17" s="21">
        <v>71</v>
      </c>
      <c r="F17" s="21">
        <v>72</v>
      </c>
      <c r="G17" s="21">
        <v>65</v>
      </c>
      <c r="H17" s="21">
        <v>60</v>
      </c>
      <c r="I17" s="18">
        <f t="shared" si="0"/>
        <v>67</v>
      </c>
      <c r="J17" s="18">
        <v>47.924208123207457</v>
      </c>
      <c r="K17" s="42"/>
      <c r="L17" s="43"/>
      <c r="M17" s="44"/>
      <c r="N17" s="45"/>
    </row>
    <row r="18" spans="2:14" x14ac:dyDescent="0.25">
      <c r="B18" s="47"/>
      <c r="C18" s="9">
        <v>14</v>
      </c>
      <c r="D18" s="41"/>
      <c r="E18" s="21">
        <v>74</v>
      </c>
      <c r="F18" s="21">
        <v>75</v>
      </c>
      <c r="G18" s="21">
        <v>69</v>
      </c>
      <c r="H18" s="21">
        <v>62</v>
      </c>
      <c r="I18" s="18">
        <f t="shared" si="0"/>
        <v>70</v>
      </c>
      <c r="J18" s="18">
        <v>48.343042609238502</v>
      </c>
      <c r="K18" s="42"/>
      <c r="L18" s="43"/>
      <c r="M18" s="44"/>
      <c r="N18" s="45"/>
    </row>
    <row r="19" spans="2:14" x14ac:dyDescent="0.25">
      <c r="B19" s="48"/>
      <c r="C19" s="9">
        <v>15</v>
      </c>
      <c r="D19" s="41"/>
      <c r="E19" s="21">
        <v>77</v>
      </c>
      <c r="F19" s="21">
        <v>79</v>
      </c>
      <c r="G19" s="21">
        <v>71</v>
      </c>
      <c r="H19" s="21">
        <v>65</v>
      </c>
      <c r="I19" s="18">
        <f t="shared" si="0"/>
        <v>73</v>
      </c>
      <c r="J19" s="18">
        <v>48.737848935552606</v>
      </c>
      <c r="K19" s="42"/>
      <c r="L19" s="43"/>
      <c r="M19" s="44"/>
      <c r="N19" s="45"/>
    </row>
    <row r="20" spans="2:14" x14ac:dyDescent="0.25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  <c r="M20" s="14" t="s">
        <v>2</v>
      </c>
      <c r="N20" s="15">
        <f>+SUM(N5:N10)</f>
        <v>0.34662429281780999</v>
      </c>
    </row>
    <row r="21" spans="2:14" x14ac:dyDescent="0.25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M21" s="14" t="s">
        <v>1</v>
      </c>
      <c r="N21" s="23">
        <f>15/N20</f>
        <v>43.274520311489496</v>
      </c>
    </row>
    <row r="22" spans="2:14" x14ac:dyDescent="0.25"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  <c r="M22" s="12" t="s">
        <v>0</v>
      </c>
      <c r="N22" s="8" t="str">
        <f>IF(N21&lt;15,"E",IF(N21&lt;50,"D","C"))</f>
        <v>D</v>
      </c>
    </row>
    <row r="25" spans="2:14" x14ac:dyDescent="0.25">
      <c r="B25" s="1" t="s">
        <v>11</v>
      </c>
    </row>
    <row r="27" spans="2:14" x14ac:dyDescent="0.25">
      <c r="B27" s="13"/>
      <c r="C27" s="13"/>
    </row>
    <row r="28" spans="2:14" x14ac:dyDescent="0.25">
      <c r="B28" s="1" t="s">
        <v>12</v>
      </c>
    </row>
    <row r="29" spans="2:14" x14ac:dyDescent="0.25">
      <c r="B29" s="1" t="s">
        <v>13</v>
      </c>
    </row>
    <row r="30" spans="2:14" x14ac:dyDescent="0.25">
      <c r="B30" s="1" t="s">
        <v>14</v>
      </c>
    </row>
  </sheetData>
  <mergeCells count="12">
    <mergeCell ref="B1:C1"/>
    <mergeCell ref="D1:L1"/>
    <mergeCell ref="D6:D19"/>
    <mergeCell ref="K6:K19"/>
    <mergeCell ref="L6:L19"/>
    <mergeCell ref="B6:B19"/>
    <mergeCell ref="B20:L22"/>
    <mergeCell ref="B2:L2"/>
    <mergeCell ref="M2:N3"/>
    <mergeCell ref="B3:L3"/>
    <mergeCell ref="M6:M19"/>
    <mergeCell ref="N6:N19"/>
  </mergeCells>
  <phoneticPr fontId="6" type="noConversion"/>
  <pageMargins left="1.1023622047244095" right="1.1023622047244095" top="0.74803149606299213" bottom="0.74803149606299213" header="0.31496062992125984" footer="0.31496062992125984"/>
  <pageSetup paperSize="9" scale="8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P8" sqref="P8"/>
    </sheetView>
  </sheetViews>
  <sheetFormatPr baseColWidth="10" defaultRowHeight="14.5" x14ac:dyDescent="0.35"/>
  <sheetData>
    <row r="1" spans="1:6" ht="25" x14ac:dyDescent="0.35">
      <c r="A1" s="3" t="s">
        <v>4</v>
      </c>
      <c r="B1" s="6" t="s">
        <v>6</v>
      </c>
      <c r="C1" s="6" t="s">
        <v>6</v>
      </c>
      <c r="D1" s="6" t="s">
        <v>6</v>
      </c>
      <c r="E1" s="6" t="s">
        <v>6</v>
      </c>
      <c r="F1" s="6" t="s">
        <v>6</v>
      </c>
    </row>
    <row r="2" spans="1:6" x14ac:dyDescent="0.35">
      <c r="A2" s="2">
        <v>1</v>
      </c>
      <c r="B2" s="5">
        <v>10.5</v>
      </c>
      <c r="C2" s="5">
        <v>3.9749999999999996</v>
      </c>
      <c r="D2" s="5">
        <v>4.5</v>
      </c>
      <c r="E2" s="5">
        <v>4.5</v>
      </c>
      <c r="F2" s="5">
        <v>8.25</v>
      </c>
    </row>
    <row r="3" spans="1:6" x14ac:dyDescent="0.35">
      <c r="A3" s="2">
        <v>2</v>
      </c>
      <c r="B3" s="5">
        <v>9</v>
      </c>
      <c r="C3" s="5">
        <v>6.2250000000000005</v>
      </c>
      <c r="D3" s="5">
        <v>6</v>
      </c>
      <c r="E3" s="5">
        <v>9</v>
      </c>
      <c r="F3" s="5">
        <v>20.25</v>
      </c>
    </row>
    <row r="4" spans="1:6" x14ac:dyDescent="0.35">
      <c r="A4" s="2">
        <v>3</v>
      </c>
      <c r="B4" s="5">
        <v>7.5</v>
      </c>
      <c r="C4" s="5">
        <v>9.375</v>
      </c>
      <c r="D4" s="5">
        <v>12.75</v>
      </c>
      <c r="E4" s="5">
        <v>23.25</v>
      </c>
      <c r="F4" s="5">
        <v>36.75</v>
      </c>
    </row>
    <row r="5" spans="1:6" x14ac:dyDescent="0.35">
      <c r="A5" s="2">
        <v>4</v>
      </c>
      <c r="B5" s="5">
        <v>7.5</v>
      </c>
      <c r="C5" s="5">
        <v>13.685</v>
      </c>
      <c r="D5" s="5">
        <v>25.5</v>
      </c>
      <c r="E5" s="5">
        <v>47.6</v>
      </c>
      <c r="F5" s="5">
        <v>56.1</v>
      </c>
    </row>
    <row r="6" spans="1:6" x14ac:dyDescent="0.35">
      <c r="A6" s="2">
        <v>5</v>
      </c>
      <c r="B6" s="5">
        <v>8.25</v>
      </c>
      <c r="C6" s="5">
        <v>23.8</v>
      </c>
      <c r="D6" s="5">
        <v>35.699999999999996</v>
      </c>
      <c r="E6" s="5">
        <v>65.45</v>
      </c>
      <c r="F6" s="5">
        <v>62.9</v>
      </c>
    </row>
    <row r="7" spans="1:6" x14ac:dyDescent="0.35">
      <c r="A7" s="2">
        <v>6</v>
      </c>
      <c r="B7" s="5">
        <v>6</v>
      </c>
      <c r="C7" s="5">
        <v>33.15</v>
      </c>
      <c r="D7" s="5">
        <v>51.85</v>
      </c>
      <c r="E7" s="5">
        <v>71.399999999999991</v>
      </c>
      <c r="F7" s="5">
        <v>68.849999999999994</v>
      </c>
    </row>
    <row r="8" spans="1:6" x14ac:dyDescent="0.35">
      <c r="A8" s="2">
        <v>7</v>
      </c>
      <c r="B8" s="5">
        <v>7.5</v>
      </c>
      <c r="C8" s="5">
        <v>47.974999999999994</v>
      </c>
      <c r="D8" s="7"/>
      <c r="E8" s="7"/>
      <c r="F8" s="7"/>
    </row>
    <row r="9" spans="1:6" x14ac:dyDescent="0.35">
      <c r="A9" s="2">
        <v>8</v>
      </c>
      <c r="B9" s="5">
        <v>12</v>
      </c>
      <c r="C9" s="5">
        <v>53.93888888888889</v>
      </c>
      <c r="D9" s="7"/>
      <c r="E9" s="7"/>
      <c r="F9" s="7"/>
    </row>
    <row r="10" spans="1:6" x14ac:dyDescent="0.35">
      <c r="A10" s="2">
        <v>9</v>
      </c>
      <c r="B10" s="5">
        <v>18.75</v>
      </c>
      <c r="C10" s="5">
        <v>48.133333333333326</v>
      </c>
      <c r="D10" s="7"/>
      <c r="E10" s="7"/>
      <c r="F10" s="7"/>
    </row>
    <row r="11" spans="1:6" x14ac:dyDescent="0.35">
      <c r="A11" s="2">
        <v>10</v>
      </c>
      <c r="B11" s="5">
        <v>21.75</v>
      </c>
      <c r="C11" s="5">
        <v>55.099999999999994</v>
      </c>
      <c r="D11" s="7"/>
      <c r="E11" s="7"/>
      <c r="F11" s="7"/>
    </row>
    <row r="12" spans="1:6" x14ac:dyDescent="0.35">
      <c r="A12" s="2">
        <v>11</v>
      </c>
      <c r="B12" s="5">
        <v>33</v>
      </c>
      <c r="C12" s="5">
        <v>63.666666666666664</v>
      </c>
      <c r="D12" s="7"/>
      <c r="E12" s="7"/>
      <c r="F12" s="7"/>
    </row>
    <row r="13" spans="1:6" x14ac:dyDescent="0.35">
      <c r="A13" s="2">
        <v>12</v>
      </c>
      <c r="B13" s="5">
        <v>30.75</v>
      </c>
      <c r="C13" s="5">
        <v>69</v>
      </c>
      <c r="D13" s="7"/>
      <c r="E13" s="7"/>
      <c r="F13" s="7"/>
    </row>
    <row r="14" spans="1:6" x14ac:dyDescent="0.35">
      <c r="A14" s="2">
        <v>13</v>
      </c>
      <c r="B14" s="5">
        <v>58.5</v>
      </c>
      <c r="C14" s="5">
        <v>69</v>
      </c>
      <c r="D14" s="7"/>
      <c r="E14" s="7"/>
      <c r="F14" s="7"/>
    </row>
    <row r="15" spans="1:6" x14ac:dyDescent="0.35">
      <c r="A15" s="2">
        <v>14</v>
      </c>
      <c r="B15" s="5">
        <v>75</v>
      </c>
      <c r="C15" s="5">
        <v>77.5</v>
      </c>
      <c r="D15" s="7"/>
      <c r="E15" s="7"/>
      <c r="F15" s="7"/>
    </row>
    <row r="16" spans="1:6" x14ac:dyDescent="0.35">
      <c r="B16" s="5"/>
      <c r="C16" s="5">
        <v>52</v>
      </c>
      <c r="D16" s="7"/>
      <c r="E16" s="7"/>
      <c r="F16" s="7"/>
    </row>
    <row r="17" spans="2:6" x14ac:dyDescent="0.35">
      <c r="B17" s="5"/>
      <c r="C17" s="5">
        <v>69</v>
      </c>
      <c r="D17" s="7"/>
      <c r="E17" s="7"/>
      <c r="F1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</dc:creator>
  <cp:lastModifiedBy>EDWIN MARIN</cp:lastModifiedBy>
  <cp:lastPrinted>2025-07-31T15:31:07Z</cp:lastPrinted>
  <dcterms:created xsi:type="dcterms:W3CDTF">2024-07-18T23:49:11Z</dcterms:created>
  <dcterms:modified xsi:type="dcterms:W3CDTF">2026-01-21T16:09:18Z</dcterms:modified>
</cp:coreProperties>
</file>